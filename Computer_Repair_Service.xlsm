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rici\Downloads\"/>
    </mc:Choice>
  </mc:AlternateContent>
  <xr:revisionPtr revIDLastSave="0" documentId="13_ncr:1_{A34BAB35-3526-420D-9CD3-FA8BD5E5D3C0}" xr6:coauthVersionLast="47" xr6:coauthVersionMax="47" xr10:uidLastSave="{00000000-0000-0000-0000-000000000000}"/>
  <bookViews>
    <workbookView xWindow="1820" yWindow="1820" windowWidth="14620" windowHeight="7430" firstSheet="9" activeTab="11" xr2:uid="{C8BC9352-D190-4EED-AC02-6D0AAE816BE1}"/>
  </bookViews>
  <sheets>
    <sheet name="RepairPackage" sheetId="1" r:id="rId1"/>
    <sheet name="RepairStocks" sheetId="2" r:id="rId2"/>
    <sheet name="Staff" sheetId="13" r:id="rId3"/>
    <sheet name="Customer" sheetId="4" r:id="rId4"/>
    <sheet name="Order" sheetId="3" r:id="rId5"/>
    <sheet name="Usage" sheetId="14" r:id="rId6"/>
    <sheet name="Invoice" sheetId="16" r:id="rId7"/>
    <sheet name="Transaction" sheetId="5" r:id="rId8"/>
    <sheet name="SearchTransaction" sheetId="19" r:id="rId9"/>
    <sheet name="Transaction Code" sheetId="22" r:id="rId10"/>
    <sheet name="Status" sheetId="21" r:id="rId11"/>
    <sheet name="SearchStatus" sheetId="20" r:id="rId12"/>
  </sheets>
  <definedNames>
    <definedName name="_xlnm._FilterDatabase" localSheetId="3" hidden="1">Customer!$A$5:$D$10</definedName>
    <definedName name="_xlnm._FilterDatabase" localSheetId="8" hidden="1">SearchTransaction!#REF!</definedName>
    <definedName name="_xlnm._FilterDatabase" localSheetId="10" hidden="1">Status!$A$5:$I$12</definedName>
    <definedName name="_xlnm._FilterDatabase" localSheetId="7" hidden="1">Transaction!$A$5:$M$22</definedName>
    <definedName name="_xlnm.Criteria" localSheetId="3">Customer!$F$5:$F$6</definedName>
    <definedName name="_xlnm.Criteria" localSheetId="11">SearchStatus!$K$5:$K$6</definedName>
    <definedName name="_xlnm.Criteria" localSheetId="8">SearchTransaction!$O$5:$P$6</definedName>
    <definedName name="_xlnm.Extract" localSheetId="3">Customer!$H$5:$K$5</definedName>
    <definedName name="_xlnm.Extract" localSheetId="11">SearchStatus!$A$5:$I$5</definedName>
    <definedName name="_xlnm.Extract" localSheetId="8">SearchTransaction!$A$5:$M$5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13" i="21" l="1"/>
  <c r="A22" i="5"/>
  <c r="A9" i="3"/>
  <c r="A21" i="5"/>
  <c r="A8" i="3"/>
  <c r="A7" i="3"/>
  <c r="A6" i="3"/>
  <c r="H2" i="3"/>
  <c r="A9" i="14" l="1"/>
  <c r="A20" i="5" l="1"/>
  <c r="A19" i="5"/>
  <c r="A18" i="5"/>
  <c r="A17" i="5" l="1"/>
  <c r="C14" i="22" l="1"/>
  <c r="C8" i="22"/>
  <c r="C4" i="22"/>
  <c r="A16" i="5" l="1"/>
  <c r="A15" i="5"/>
  <c r="A14" i="5" l="1"/>
  <c r="A13" i="5"/>
  <c r="A12" i="21"/>
  <c r="A12" i="5"/>
  <c r="A11" i="5"/>
  <c r="A11" i="21"/>
  <c r="A5" i="16"/>
  <c r="A6" i="14" l="1"/>
  <c r="A7" i="14"/>
  <c r="A8" i="14"/>
  <c r="A7" i="13" l="1"/>
  <c r="A7" i="21" l="1"/>
  <c r="A8" i="21"/>
  <c r="A9" i="21"/>
  <c r="A10" i="21"/>
  <c r="A6" i="21"/>
  <c r="A9" i="5" l="1"/>
  <c r="A8" i="5"/>
  <c r="A10" i="5"/>
  <c r="R6" i="19"/>
  <c r="A7" i="5"/>
  <c r="A6" i="5"/>
  <c r="L3" i="5"/>
  <c r="A8" i="2" l="1"/>
  <c r="A7" i="2"/>
  <c r="A6" i="2"/>
  <c r="A10" i="4" l="1"/>
  <c r="A6" i="13" l="1"/>
  <c r="A9" i="4"/>
  <c r="A8" i="4"/>
  <c r="A7" i="4"/>
  <c r="A6" i="4"/>
  <c r="A9" i="1"/>
  <c r="A8" i="1"/>
  <c r="A7" i="1"/>
  <c r="A6" i="1"/>
</calcChain>
</file>

<file path=xl/sharedStrings.xml><?xml version="1.0" encoding="utf-8"?>
<sst xmlns="http://schemas.openxmlformats.org/spreadsheetml/2006/main" count="414" uniqueCount="137">
  <si>
    <t>No</t>
  </si>
  <si>
    <t>Reorder level</t>
  </si>
  <si>
    <t>Reorder Status</t>
  </si>
  <si>
    <t>Item</t>
  </si>
  <si>
    <t>Price</t>
  </si>
  <si>
    <t>Total</t>
  </si>
  <si>
    <t>Customer Name</t>
  </si>
  <si>
    <t>Address</t>
  </si>
  <si>
    <t>Phone Number</t>
  </si>
  <si>
    <t>Product ID</t>
  </si>
  <si>
    <t>Cleaning Kits</t>
  </si>
  <si>
    <t>Thermal Paste</t>
  </si>
  <si>
    <t>Package Name</t>
  </si>
  <si>
    <t>Price per Repair</t>
  </si>
  <si>
    <t>Package Description</t>
  </si>
  <si>
    <t>PC HEALTH CHECK</t>
  </si>
  <si>
    <t>Virus Scan and Repair, Systems driver update, Software installation and updates</t>
  </si>
  <si>
    <t>HARDWARE INSTALLATION PACKAGE</t>
  </si>
  <si>
    <t>Peripheral Installation, Web Cam Installation, Printer Installation, Memory Installation</t>
  </si>
  <si>
    <t>DATA RECOVERY PACKAGE</t>
  </si>
  <si>
    <t>Data Recovery, Scan Hard Drive for bad sector, Recover and restore data and files</t>
  </si>
  <si>
    <t>INTERNET SETUP PACKAGE</t>
  </si>
  <si>
    <t>Setup Broadband, Setup Wireless Router, Install Internet, Consultation, Make a necessary service provider calls</t>
  </si>
  <si>
    <t>Product Name</t>
  </si>
  <si>
    <t>Stocks</t>
  </si>
  <si>
    <t>Transaction ID</t>
  </si>
  <si>
    <t>Code</t>
  </si>
  <si>
    <t>Cecil Bridges</t>
  </si>
  <si>
    <t>Ciaran Lambert</t>
  </si>
  <si>
    <t>Tristan Boyd</t>
  </si>
  <si>
    <t>Bobby Mcdowell</t>
  </si>
  <si>
    <t>49, Flint Street</t>
  </si>
  <si>
    <t>12, Maxwell Street</t>
  </si>
  <si>
    <t>82, Ombourne Street</t>
  </si>
  <si>
    <t>78, Cresent Street</t>
  </si>
  <si>
    <t>Staff Name</t>
  </si>
  <si>
    <t>Start Date</t>
  </si>
  <si>
    <t>Completion Date</t>
  </si>
  <si>
    <t>Package</t>
  </si>
  <si>
    <t>Total Price</t>
  </si>
  <si>
    <t>Transaction Number</t>
  </si>
  <si>
    <t>Full Name</t>
  </si>
  <si>
    <t>Gender</t>
  </si>
  <si>
    <t>Male</t>
  </si>
  <si>
    <t>Female</t>
  </si>
  <si>
    <t>Purchase Code</t>
  </si>
  <si>
    <t>Completion Data</t>
  </si>
  <si>
    <t>Transaction Date</t>
  </si>
  <si>
    <t>Description</t>
  </si>
  <si>
    <t>Status</t>
  </si>
  <si>
    <t>Payment Details</t>
  </si>
  <si>
    <t>Kimmy Jones</t>
  </si>
  <si>
    <t>59, PorstHart Street</t>
  </si>
  <si>
    <t>PR-101</t>
  </si>
  <si>
    <t>PR-102</t>
  </si>
  <si>
    <t>PR-103</t>
  </si>
  <si>
    <t>PR-104</t>
  </si>
  <si>
    <t>Multimeter</t>
  </si>
  <si>
    <t>Tweezers</t>
  </si>
  <si>
    <t>Jason Jules</t>
  </si>
  <si>
    <t>Number of computers</t>
  </si>
  <si>
    <t>Transaction No.</t>
  </si>
  <si>
    <t>Total Gain</t>
  </si>
  <si>
    <t>TR-1001</t>
  </si>
  <si>
    <t>TR-1004</t>
  </si>
  <si>
    <t>Sherlyn Simmons</t>
  </si>
  <si>
    <t>Molly Monroe</t>
  </si>
  <si>
    <t>TR-1002</t>
  </si>
  <si>
    <t>TR-1003</t>
  </si>
  <si>
    <t>23, Manor Slint Street</t>
  </si>
  <si>
    <t>Collected</t>
  </si>
  <si>
    <t>Yes</t>
  </si>
  <si>
    <t>Usage Date</t>
  </si>
  <si>
    <t>Amount Used</t>
  </si>
  <si>
    <t>Brand</t>
  </si>
  <si>
    <t>Repairing</t>
  </si>
  <si>
    <t>Cash</t>
  </si>
  <si>
    <t>Completed</t>
  </si>
  <si>
    <t>Customer 1</t>
  </si>
  <si>
    <t>Customer 2</t>
  </si>
  <si>
    <t>Customer 3</t>
  </si>
  <si>
    <t>Customer 4</t>
  </si>
  <si>
    <t>Address 1</t>
  </si>
  <si>
    <t>Address 2</t>
  </si>
  <si>
    <t>Address 3</t>
  </si>
  <si>
    <t>Address 4</t>
  </si>
  <si>
    <t>Package 1</t>
  </si>
  <si>
    <t>Package 2</t>
  </si>
  <si>
    <t>Package 3</t>
  </si>
  <si>
    <t>Package 4</t>
  </si>
  <si>
    <t>Acer</t>
  </si>
  <si>
    <t>Dell</t>
  </si>
  <si>
    <t>Lenovo</t>
  </si>
  <si>
    <t xml:space="preserve">Computer Repair Store Service Application </t>
  </si>
  <si>
    <t>Repair Packages</t>
  </si>
  <si>
    <t>Repairs Stocks</t>
  </si>
  <si>
    <t>Customer Details</t>
  </si>
  <si>
    <t>Staff Details</t>
  </si>
  <si>
    <t>Usage</t>
  </si>
  <si>
    <t>Transactions</t>
  </si>
  <si>
    <t>Search Transaction</t>
  </si>
  <si>
    <t>Search Status</t>
  </si>
  <si>
    <t>Admin</t>
  </si>
  <si>
    <t>TR-1108</t>
  </si>
  <si>
    <t>Card</t>
  </si>
  <si>
    <t>TECHNIZ REPAIR STORE</t>
  </si>
  <si>
    <t>No. 38, Thames Road Street. Phone Number: 1832930046</t>
  </si>
  <si>
    <t>No. Invoice</t>
  </si>
  <si>
    <t>No.</t>
  </si>
  <si>
    <t>56, Flinder Street</t>
  </si>
  <si>
    <t>12, Vane Street</t>
  </si>
  <si>
    <t>TR-1137</t>
  </si>
  <si>
    <t>Repairing process</t>
  </si>
  <si>
    <t>TR-1141</t>
  </si>
  <si>
    <t>TR-1142</t>
  </si>
  <si>
    <t>TR-1143</t>
  </si>
  <si>
    <t>TR-1145</t>
  </si>
  <si>
    <t>Kode</t>
  </si>
  <si>
    <t>Trasaction Code</t>
  </si>
  <si>
    <t>Previous Code</t>
  </si>
  <si>
    <t>Starting Date</t>
  </si>
  <si>
    <t>Previous</t>
  </si>
  <si>
    <t>TR-1086</t>
  </si>
  <si>
    <t>TR-1087</t>
  </si>
  <si>
    <t>TR-1088</t>
  </si>
  <si>
    <t>Order</t>
  </si>
  <si>
    <t>Others</t>
  </si>
  <si>
    <t>Total purchase</t>
  </si>
  <si>
    <t>Purchase Date</t>
  </si>
  <si>
    <t>TR-1089</t>
  </si>
  <si>
    <t>Pay</t>
  </si>
  <si>
    <t>Return</t>
  </si>
  <si>
    <t>Staff</t>
  </si>
  <si>
    <t>cecil</t>
  </si>
  <si>
    <t>TR-1090</t>
  </si>
  <si>
    <t>&gt;=12/23/2023</t>
  </si>
  <si>
    <t>&lt;=12/25/2023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</si>
</sst>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4" formatCode="_(&quot;$&quot;* #,##0.00_);_(&quot;$&quot;* \(#,##0.00\);_(&quot;$&quot;* &quot;-&quot;??_);_(@_)"/>
    <numFmt numFmtId="164" formatCode="_-&quot;Rp&quot;* #,##0_-;\-&quot;Rp&quot;* #,##0_-;_-&quot;Rp&quot;* &quot;-&quot;??_-;_-@_-"/>
    <numFmt numFmtId="165" formatCode="@\ * \:"/>
    <numFmt numFmtId="166" formatCode="&quot;Rp&quot;#,##0"/>
    <numFmt numFmtId="167" formatCode="[$£-809]#,##0.00"/>
    <numFmt numFmtId="168" formatCode="[$£-809]#,##0;\-[$£-809]#,##0"/>
    <numFmt numFmtId="169" formatCode="_-[$£-809]* #,##0.00_-;\-[$£-809]* #,##0.00_-;_-[$£-809]* &quot;-&quot;??_-;_-@_-"/>
  </numFmts>
  <fonts count="1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color theme="1"/>
      <name val="Roboto Condensed"/>
    </font>
    <font>
      <b/>
      <sz val="8"/>
      <color theme="1"/>
      <name val="Roboto Condensed"/>
    </font>
    <font>
      <b/>
      <sz val="8"/>
      <color theme="1"/>
      <name val="Calibri"/>
      <family val="2"/>
      <scheme val="minor"/>
    </font>
    <font>
      <b/>
      <sz val="6"/>
      <color theme="0" tint="-0.499984740745262"/>
      <name val="Calibri"/>
      <family val="2"/>
      <scheme val="minor"/>
    </font>
    <font>
      <b/>
      <sz val="12"/>
      <color theme="1"/>
      <name val="Roboto Condensed"/>
    </font>
    <font>
      <sz val="6"/>
      <color theme="1"/>
      <name val="Roboto Condensed"/>
    </font>
    <font>
      <b/>
      <sz val="6"/>
      <color theme="1"/>
      <name val="Roboto Condensed"/>
    </font>
    <font>
      <sz val="6"/>
      <color theme="1"/>
      <name val="Calibri"/>
      <family val="2"/>
      <charset val="1"/>
      <scheme val="minor"/>
    </font>
    <font>
      <sz val="8"/>
      <name val="Calibri"/>
      <family val="2"/>
      <scheme val="minor"/>
    </font>
    <font>
      <sz val="18"/>
      <color theme="1"/>
      <name val="Calibri"/>
      <family val="2"/>
      <scheme val="minor"/>
    </font>
    <font>
      <sz val="20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8" tint="0.39997558519241921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dotted">
        <color theme="2" tint="-0.749961851863155"/>
      </bottom>
      <diagonal/>
    </border>
    <border>
      <left/>
      <right/>
      <top/>
      <bottom style="dotted">
        <color theme="0" tint="-0.499984740745262"/>
      </bottom>
      <diagonal/>
    </border>
    <border>
      <left/>
      <right/>
      <top style="dashed">
        <color theme="2" tint="-0.749961851863155"/>
      </top>
      <bottom style="dashed">
        <color theme="2" tint="-0.749961851863155"/>
      </bottom>
      <diagonal/>
    </border>
    <border>
      <left/>
      <right/>
      <top/>
      <bottom style="dashed">
        <color auto="1"/>
      </bottom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66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Alignment="1">
      <alignment horizontal="left"/>
    </xf>
    <xf numFmtId="0" fontId="0" fillId="0" borderId="1" xfId="0" applyBorder="1"/>
    <xf numFmtId="0" fontId="0" fillId="0" borderId="1" xfId="0" applyBorder="1" applyAlignment="1">
      <alignment horizontal="center" vertical="center"/>
    </xf>
    <xf numFmtId="14" fontId="0" fillId="0" borderId="0" xfId="0" applyNumberFormat="1"/>
    <xf numFmtId="0" fontId="0" fillId="0" borderId="1" xfId="0" applyBorder="1" applyAlignment="1">
      <alignment horizontal="left" vertical="center"/>
    </xf>
    <xf numFmtId="164" fontId="0" fillId="0" borderId="1" xfId="1" applyNumberFormat="1" applyFont="1" applyBorder="1"/>
    <xf numFmtId="164" fontId="0" fillId="0" borderId="1" xfId="1" applyNumberFormat="1" applyFont="1" applyBorder="1" applyAlignment="1">
      <alignment horizontal="center" vertical="center"/>
    </xf>
    <xf numFmtId="16" fontId="0" fillId="0" borderId="1" xfId="0" applyNumberForma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49" fontId="6" fillId="0" borderId="0" xfId="0" applyNumberFormat="1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165" fontId="7" fillId="0" borderId="0" xfId="0" applyNumberFormat="1" applyFont="1" applyAlignment="1">
      <alignment horizontal="left" vertical="center"/>
    </xf>
    <xf numFmtId="0" fontId="7" fillId="0" borderId="0" xfId="0" applyFont="1" applyAlignment="1">
      <alignment vertical="center"/>
    </xf>
    <xf numFmtId="0" fontId="7" fillId="0" borderId="0" xfId="0" applyFont="1" applyAlignment="1">
      <alignment horizontal="center" vertical="center"/>
    </xf>
    <xf numFmtId="0" fontId="8" fillId="0" borderId="4" xfId="0" applyFont="1" applyBorder="1" applyAlignment="1">
      <alignment vertical="center"/>
    </xf>
    <xf numFmtId="166" fontId="8" fillId="0" borderId="4" xfId="0" applyNumberFormat="1" applyFont="1" applyBorder="1" applyAlignment="1">
      <alignment vertical="center"/>
    </xf>
    <xf numFmtId="0" fontId="8" fillId="0" borderId="4" xfId="0" applyFont="1" applyBorder="1" applyAlignment="1">
      <alignment horizontal="center" vertical="center"/>
    </xf>
    <xf numFmtId="166" fontId="8" fillId="0" borderId="4" xfId="0" applyNumberFormat="1" applyFont="1" applyBorder="1" applyAlignment="1">
      <alignment horizontal="center" vertical="center"/>
    </xf>
    <xf numFmtId="0" fontId="9" fillId="0" borderId="0" xfId="0" applyFont="1" applyAlignment="1">
      <alignment vertical="center"/>
    </xf>
    <xf numFmtId="3" fontId="9" fillId="0" borderId="0" xfId="0" applyNumberFormat="1" applyFont="1" applyAlignment="1">
      <alignment horizontal="center" vertical="center"/>
    </xf>
    <xf numFmtId="0" fontId="9" fillId="0" borderId="5" xfId="0" applyFont="1" applyBorder="1" applyAlignment="1">
      <alignment vertical="center"/>
    </xf>
    <xf numFmtId="3" fontId="9" fillId="0" borderId="5" xfId="0" applyNumberFormat="1" applyFont="1" applyBorder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9" fillId="0" borderId="0" xfId="0" applyFont="1"/>
    <xf numFmtId="0" fontId="9" fillId="0" borderId="0" xfId="0" applyFont="1" applyAlignment="1">
      <alignment horizontal="center"/>
    </xf>
    <xf numFmtId="0" fontId="0" fillId="0" borderId="0" xfId="0" applyAlignment="1">
      <alignment horizontal="center"/>
    </xf>
    <xf numFmtId="167" fontId="0" fillId="0" borderId="0" xfId="0" applyNumberFormat="1" applyAlignment="1">
      <alignment horizontal="left"/>
    </xf>
    <xf numFmtId="168" fontId="0" fillId="0" borderId="0" xfId="0" applyNumberFormat="1" applyAlignment="1">
      <alignment horizontal="center" vertical="center"/>
    </xf>
    <xf numFmtId="168" fontId="0" fillId="0" borderId="1" xfId="0" applyNumberFormat="1" applyBorder="1" applyAlignment="1">
      <alignment horizontal="center" vertical="center"/>
    </xf>
    <xf numFmtId="168" fontId="0" fillId="0" borderId="0" xfId="1" applyNumberFormat="1" applyFont="1"/>
    <xf numFmtId="168" fontId="0" fillId="0" borderId="1" xfId="0" applyNumberFormat="1" applyBorder="1" applyAlignment="1">
      <alignment horizontal="left" vertical="center"/>
    </xf>
    <xf numFmtId="168" fontId="0" fillId="0" borderId="0" xfId="1" applyNumberFormat="1" applyFont="1" applyAlignment="1">
      <alignment horizontal="center"/>
    </xf>
    <xf numFmtId="167" fontId="0" fillId="0" borderId="1" xfId="0" applyNumberFormat="1" applyBorder="1" applyAlignment="1">
      <alignment horizontal="center" vertical="center"/>
    </xf>
    <xf numFmtId="168" fontId="0" fillId="0" borderId="0" xfId="0" applyNumberFormat="1" applyAlignment="1">
      <alignment horizontal="left"/>
    </xf>
    <xf numFmtId="168" fontId="0" fillId="0" borderId="0" xfId="0" applyNumberFormat="1"/>
    <xf numFmtId="0" fontId="0" fillId="0" borderId="1" xfId="0" applyBorder="1" applyAlignment="1">
      <alignment horizontal="center"/>
    </xf>
    <xf numFmtId="14" fontId="0" fillId="0" borderId="0" xfId="0" applyNumberFormat="1" applyAlignment="1">
      <alignment horizontal="center"/>
    </xf>
    <xf numFmtId="169" fontId="9" fillId="0" borderId="0" xfId="0" applyNumberFormat="1" applyFont="1" applyAlignment="1">
      <alignment vertical="center"/>
    </xf>
    <xf numFmtId="169" fontId="9" fillId="0" borderId="0" xfId="0" applyNumberFormat="1" applyFont="1"/>
    <xf numFmtId="169" fontId="0" fillId="0" borderId="0" xfId="0" applyNumberFormat="1"/>
    <xf numFmtId="169" fontId="9" fillId="0" borderId="5" xfId="0" applyNumberFormat="1" applyFont="1" applyBorder="1" applyAlignment="1">
      <alignment vertical="center"/>
    </xf>
    <xf numFmtId="169" fontId="9" fillId="0" borderId="0" xfId="0" applyNumberFormat="1" applyFont="1" applyAlignment="1">
      <alignment horizontal="left" vertical="center"/>
    </xf>
    <xf numFmtId="164" fontId="0" fillId="0" borderId="1" xfId="1" applyNumberFormat="1" applyFont="1" applyBorder="1" applyAlignment="1">
      <alignment horizontal="center"/>
    </xf>
    <xf numFmtId="0" fontId="0" fillId="0" borderId="1" xfId="0" applyBorder="1" applyAlignment="1">
      <alignment vertical="center"/>
    </xf>
    <xf numFmtId="0" fontId="0" fillId="0" borderId="0" xfId="0" applyAlignment="1">
      <alignment vertical="center"/>
    </xf>
    <xf numFmtId="167" fontId="0" fillId="0" borderId="0" xfId="0" applyNumberFormat="1" applyAlignment="1">
      <alignment horizontal="center"/>
    </xf>
    <xf numFmtId="14" fontId="0" fillId="0" borderId="0" xfId="0" applyNumberFormat="1" applyAlignment="1">
      <alignment horizontal="center" vertical="center"/>
    </xf>
    <xf numFmtId="167" fontId="0" fillId="0" borderId="0" xfId="1" applyNumberFormat="1" applyFont="1" applyAlignment="1">
      <alignment horizontal="center"/>
    </xf>
    <xf numFmtId="167" fontId="0" fillId="0" borderId="1" xfId="1" applyNumberFormat="1" applyFont="1" applyBorder="1" applyAlignment="1">
      <alignment horizontal="center"/>
    </xf>
    <xf numFmtId="164" fontId="0" fillId="0" borderId="1" xfId="1" applyNumberFormat="1" applyFont="1" applyBorder="1" applyAlignment="1">
      <alignment vertical="center"/>
    </xf>
    <xf numFmtId="168" fontId="0" fillId="0" borderId="1" xfId="1" applyNumberFormat="1" applyFont="1" applyBorder="1" applyAlignment="1">
      <alignment horizontal="center"/>
    </xf>
    <xf numFmtId="164" fontId="0" fillId="0" borderId="1" xfId="1" applyNumberFormat="1" applyFont="1" applyBorder="1" applyAlignment="1"/>
    <xf numFmtId="167" fontId="11" fillId="2" borderId="0" xfId="0" applyNumberFormat="1" applyFont="1" applyFill="1" applyAlignment="1">
      <alignment horizontal="center" vertical="center"/>
    </xf>
    <xf numFmtId="167" fontId="11" fillId="3" borderId="0" xfId="0" applyNumberFormat="1" applyFont="1" applyFill="1" applyAlignment="1">
      <alignment horizontal="center"/>
    </xf>
    <xf numFmtId="0" fontId="11" fillId="3" borderId="0" xfId="0" applyFont="1" applyFill="1" applyAlignment="1">
      <alignment horizontal="center" vertical="center"/>
    </xf>
    <xf numFmtId="0" fontId="12" fillId="3" borderId="0" xfId="0" applyFont="1" applyFill="1" applyAlignment="1">
      <alignment horizontal="center" vertical="center"/>
    </xf>
    <xf numFmtId="0" fontId="11" fillId="3" borderId="0" xfId="0" applyFont="1" applyFill="1" applyAlignment="1">
      <alignment horizontal="center"/>
    </xf>
    <xf numFmtId="0" fontId="7" fillId="0" borderId="0" xfId="0" applyFont="1" applyAlignment="1">
      <alignment horizontal="left" vertical="center"/>
    </xf>
    <xf numFmtId="0" fontId="7" fillId="0" borderId="0" xfId="0" applyFont="1" applyAlignment="1">
      <alignment horizontal="left"/>
    </xf>
    <xf numFmtId="0" fontId="2" fillId="5" borderId="0" xfId="0" applyFont="1" applyFill="1" applyAlignment="1">
      <alignment horizontal="center"/>
    </xf>
    <xf numFmtId="0" fontId="3" fillId="4" borderId="2" xfId="0" applyFont="1" applyFill="1" applyBorder="1" applyAlignment="1">
      <alignment horizontal="center"/>
    </xf>
    <xf numFmtId="0" fontId="4" fillId="0" borderId="0" xfId="0" applyFont="1" applyAlignment="1">
      <alignment horizontal="center" vertical="center"/>
    </xf>
    <xf numFmtId="22" fontId="5" fillId="0" borderId="3" xfId="0" applyNumberFormat="1" applyFont="1" applyBorder="1" applyAlignment="1">
      <alignment horizontal="center" vertical="center"/>
    </xf>
    <xf numFmtId="0" fontId="11" fillId="3" borderId="0" xfId="0" applyFont="1" applyFill="1" applyAlignment="1">
      <alignment vertical="center"/>
    </xf>
  </cellXfs>
  <cellStyles count="2">
    <cellStyle name="Currency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82550</xdr:colOff>
      <xdr:row>1</xdr:row>
      <xdr:rowOff>50800</xdr:rowOff>
    </xdr:from>
    <xdr:to>
      <xdr:col>2</xdr:col>
      <xdr:colOff>914400</xdr:colOff>
      <xdr:row>2</xdr:row>
      <xdr:rowOff>146050</xdr:rowOff>
    </xdr:to>
    <xdr:sp macro="[0]!OpenForm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C145B4B0-CA80-794F-EE1E-30557E957CBA}"/>
            </a:ext>
          </a:extLst>
        </xdr:cNvPr>
        <xdr:cNvSpPr/>
      </xdr:nvSpPr>
      <xdr:spPr>
        <a:xfrm>
          <a:off x="431800" y="234950"/>
          <a:ext cx="2089150" cy="279400"/>
        </a:xfrm>
        <a:prstGeom prst="roundRect">
          <a:avLst/>
        </a:prstGeom>
        <a:gradFill flip="none" rotWithShape="1">
          <a:gsLst>
            <a:gs pos="0">
              <a:schemeClr val="accent1">
                <a:tint val="66000"/>
                <a:satMod val="160000"/>
              </a:schemeClr>
            </a:gs>
            <a:gs pos="50000">
              <a:schemeClr val="accent1">
                <a:tint val="44500"/>
                <a:satMod val="160000"/>
              </a:schemeClr>
            </a:gs>
            <a:gs pos="100000">
              <a:schemeClr val="accent1">
                <a:tint val="23500"/>
                <a:satMod val="160000"/>
              </a:schemeClr>
            </a:gs>
          </a:gsLst>
          <a:path path="circle">
            <a:fillToRect l="50000" t="50000" r="50000" b="50000"/>
          </a:path>
          <a:tileRect/>
        </a:gra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>
              <a:solidFill>
                <a:sysClr val="windowText" lastClr="000000"/>
              </a:solidFill>
            </a:rPr>
            <a:t>Open Application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15C1E6-27A0-408F-8DF9-B3C54C96C710}">
  <sheetPr codeName="Sheet1"/>
  <dimension ref="A1:D9"/>
  <sheetViews>
    <sheetView workbookViewId="0">
      <selection activeCell="A10" sqref="A10"/>
    </sheetView>
  </sheetViews>
  <sheetFormatPr defaultRowHeight="14.5" x14ac:dyDescent="0.35"/>
  <cols>
    <col min="1" max="1" width="5.26953125" style="1" customWidth="1"/>
    <col min="2" max="2" width="31.36328125" style="27" bestFit="1" customWidth="1"/>
    <col min="3" max="3" width="19" style="47" customWidth="1"/>
    <col min="4" max="4" width="94.26953125" style="27" bestFit="1" customWidth="1"/>
  </cols>
  <sheetData>
    <row r="1" spans="1:4" x14ac:dyDescent="0.35">
      <c r="A1" s="54" t="s">
        <v>93</v>
      </c>
      <c r="B1" s="54"/>
      <c r="C1" s="54"/>
      <c r="D1" s="54"/>
    </row>
    <row r="2" spans="1:4" ht="23.5" customHeight="1" x14ac:dyDescent="0.35">
      <c r="A2" s="54"/>
      <c r="B2" s="54"/>
      <c r="C2" s="54"/>
      <c r="D2" s="54"/>
    </row>
    <row r="3" spans="1:4" x14ac:dyDescent="0.35">
      <c r="A3" s="54"/>
      <c r="B3" s="54"/>
      <c r="C3" s="54"/>
      <c r="D3" s="54"/>
    </row>
    <row r="4" spans="1:4" ht="23.5" x14ac:dyDescent="0.55000000000000004">
      <c r="A4" s="55" t="s">
        <v>94</v>
      </c>
      <c r="B4" s="55"/>
      <c r="C4" s="55"/>
      <c r="D4" s="55"/>
    </row>
    <row r="5" spans="1:4" x14ac:dyDescent="0.35">
      <c r="A5" s="1" t="s">
        <v>0</v>
      </c>
      <c r="B5" s="27" t="s">
        <v>12</v>
      </c>
      <c r="C5" s="47" t="s">
        <v>13</v>
      </c>
      <c r="D5" s="27" t="s">
        <v>14</v>
      </c>
    </row>
    <row r="6" spans="1:4" x14ac:dyDescent="0.35">
      <c r="A6" s="1">
        <f>ROW()-ROW($A$5)</f>
        <v>1</v>
      </c>
      <c r="B6" s="27" t="s">
        <v>15</v>
      </c>
      <c r="C6" s="47">
        <v>40</v>
      </c>
      <c r="D6" s="27" t="s">
        <v>16</v>
      </c>
    </row>
    <row r="7" spans="1:4" x14ac:dyDescent="0.35">
      <c r="A7" s="1">
        <f>ROW()-ROW($A$5)</f>
        <v>2</v>
      </c>
      <c r="B7" s="27" t="s">
        <v>17</v>
      </c>
      <c r="C7" s="47">
        <v>15</v>
      </c>
      <c r="D7" s="27" t="s">
        <v>18</v>
      </c>
    </row>
    <row r="8" spans="1:4" x14ac:dyDescent="0.35">
      <c r="A8" s="1">
        <f>ROW()-ROW($A$5)</f>
        <v>3</v>
      </c>
      <c r="B8" s="27" t="s">
        <v>19</v>
      </c>
      <c r="C8" s="47">
        <v>25</v>
      </c>
      <c r="D8" s="27" t="s">
        <v>20</v>
      </c>
    </row>
    <row r="9" spans="1:4" x14ac:dyDescent="0.35">
      <c r="A9" s="1">
        <f>ROW()-ROW($A$5)</f>
        <v>4</v>
      </c>
      <c r="B9" s="27" t="s">
        <v>21</v>
      </c>
      <c r="C9" s="47">
        <v>20</v>
      </c>
      <c r="D9" s="27" t="s">
        <v>22</v>
      </c>
    </row>
  </sheetData>
  <mergeCells count="2">
    <mergeCell ref="A1:D3"/>
    <mergeCell ref="A4:D4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02861D-EBB0-4775-B6B9-F44556AF22B3}">
  <sheetPr codeName="Sheet2"/>
  <dimension ref="A1:G9"/>
  <sheetViews>
    <sheetView workbookViewId="0">
      <selection activeCell="F12" sqref="F12"/>
    </sheetView>
  </sheetViews>
  <sheetFormatPr defaultRowHeight="14.5" x14ac:dyDescent="0.35"/>
  <cols>
    <col min="1" max="1" width="5.7265625" customWidth="1"/>
    <col min="2" max="2" width="9.54296875" bestFit="1" customWidth="1"/>
    <col min="3" max="3" width="12.6328125" style="27" bestFit="1" customWidth="1"/>
    <col min="4" max="4" width="6.453125" style="1" bestFit="1" customWidth="1"/>
    <col min="5" max="5" width="10.453125" style="27" customWidth="1"/>
    <col min="6" max="6" width="14.453125" style="1" customWidth="1"/>
    <col min="7" max="7" width="14.1796875" style="27" bestFit="1" customWidth="1"/>
  </cols>
  <sheetData>
    <row r="1" spans="1:7" ht="14.5" customHeight="1" x14ac:dyDescent="0.35">
      <c r="B1" s="1"/>
      <c r="D1" s="27"/>
      <c r="F1" s="27"/>
    </row>
    <row r="2" spans="1:7" ht="14.5" customHeight="1" x14ac:dyDescent="0.35">
      <c r="A2" s="56" t="s">
        <v>95</v>
      </c>
      <c r="B2" s="56"/>
      <c r="C2" s="56"/>
      <c r="D2" s="56"/>
      <c r="E2" s="56"/>
      <c r="F2" s="56"/>
      <c r="G2" s="56"/>
    </row>
    <row r="3" spans="1:7" ht="14.5" customHeight="1" x14ac:dyDescent="0.35">
      <c r="A3" s="56"/>
      <c r="B3" s="56"/>
      <c r="C3" s="56"/>
      <c r="D3" s="56"/>
      <c r="E3" s="56"/>
      <c r="F3" s="56"/>
      <c r="G3" s="56"/>
    </row>
    <row r="5" spans="1:7" x14ac:dyDescent="0.35">
      <c r="A5" t="s">
        <v>0</v>
      </c>
      <c r="B5" t="s">
        <v>9</v>
      </c>
      <c r="C5" s="27" t="s">
        <v>23</v>
      </c>
      <c r="D5" s="1" t="s">
        <v>24</v>
      </c>
      <c r="E5" s="27" t="s">
        <v>74</v>
      </c>
      <c r="F5" s="1" t="s">
        <v>1</v>
      </c>
      <c r="G5" s="27" t="s">
        <v>2</v>
      </c>
    </row>
    <row r="6" spans="1:7" ht="14.5" customHeight="1" x14ac:dyDescent="0.35">
      <c r="A6">
        <f t="shared" ref="A6:A8" si="0">ROW()-ROW($A$5)</f>
        <v>1</v>
      </c>
      <c r="B6" t="s">
        <v>53</v>
      </c>
      <c r="C6" s="27" t="s">
        <v>57</v>
      </c>
      <c r="D6" s="1">
        <v>-9</v>
      </c>
      <c r="E6" s="27" t="s">
        <v>90</v>
      </c>
      <c r="F6" s="1">
        <v>20</v>
      </c>
      <c r="G6" s="27" t="s">
        <v>71</v>
      </c>
    </row>
    <row r="7" spans="1:7" ht="14.5" customHeight="1" x14ac:dyDescent="0.35">
      <c r="A7">
        <f t="shared" si="0"/>
        <v>2</v>
      </c>
      <c r="B7" t="s">
        <v>54</v>
      </c>
      <c r="C7" s="27" t="s">
        <v>58</v>
      </c>
      <c r="D7" s="1">
        <v>30</v>
      </c>
      <c r="E7" s="27" t="s">
        <v>92</v>
      </c>
      <c r="F7" s="1">
        <v>20</v>
      </c>
      <c r="G7" s="27" t="s">
        <v>0</v>
      </c>
    </row>
    <row r="8" spans="1:7" x14ac:dyDescent="0.35">
      <c r="A8">
        <f t="shared" si="0"/>
        <v>3</v>
      </c>
      <c r="B8" t="s">
        <v>55</v>
      </c>
      <c r="C8" s="27" t="s">
        <v>11</v>
      </c>
      <c r="D8" s="1">
        <v>50</v>
      </c>
      <c r="E8" s="27" t="s">
        <v>91</v>
      </c>
      <c r="F8" s="1">
        <v>20</v>
      </c>
      <c r="G8" s="27" t="s">
        <v>0</v>
      </c>
    </row>
    <row r="9" spans="1:7" x14ac:dyDescent="0.35">
      <c r="A9">
        <v>4</v>
      </c>
      <c r="B9" t="s">
        <v>56</v>
      </c>
      <c r="C9" s="27" t="s">
        <v>10</v>
      </c>
      <c r="D9" s="1">
        <v>25</v>
      </c>
      <c r="E9" s="27" t="s">
        <v>126</v>
      </c>
      <c r="F9" s="1">
        <v>20</v>
      </c>
      <c r="G9" s="27" t="s">
        <v>0</v>
      </c>
    </row>
  </sheetData>
  <mergeCells count="1">
    <mergeCell ref="A2:G3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859CCE-66BE-463F-A80D-F9F10C39293D}">
  <sheetPr codeName="Sheet6"/>
  <dimension ref="A1:E8"/>
  <sheetViews>
    <sheetView workbookViewId="0">
      <selection activeCell="A9" sqref="A9:XFD9"/>
    </sheetView>
  </sheetViews>
  <sheetFormatPr defaultRowHeight="14.5" x14ac:dyDescent="0.35"/>
  <cols>
    <col min="1" max="1" width="5.1796875" customWidth="1"/>
    <col min="2" max="2" width="15.1796875" style="27" bestFit="1" customWidth="1"/>
    <col min="3" max="3" width="20.26953125" style="27" customWidth="1"/>
    <col min="4" max="4" width="18.90625" style="27" bestFit="1" customWidth="1"/>
    <col min="5" max="5" width="14" style="27" customWidth="1"/>
  </cols>
  <sheetData>
    <row r="1" spans="1:5" x14ac:dyDescent="0.35">
      <c r="A1" s="57" t="s">
        <v>97</v>
      </c>
      <c r="B1" s="57"/>
      <c r="C1" s="57"/>
      <c r="D1" s="57"/>
      <c r="E1" s="57"/>
    </row>
    <row r="2" spans="1:5" x14ac:dyDescent="0.35">
      <c r="A2" s="57"/>
      <c r="B2" s="57"/>
      <c r="C2" s="57"/>
      <c r="D2" s="57"/>
      <c r="E2" s="57"/>
    </row>
    <row r="3" spans="1:5" x14ac:dyDescent="0.35">
      <c r="A3" s="57"/>
      <c r="B3" s="57"/>
      <c r="C3" s="57"/>
      <c r="D3" s="57"/>
      <c r="E3" s="57"/>
    </row>
    <row r="5" spans="1:5" x14ac:dyDescent="0.35">
      <c r="A5" t="s">
        <v>0</v>
      </c>
      <c r="B5" s="27" t="s">
        <v>41</v>
      </c>
      <c r="C5" s="27" t="s">
        <v>42</v>
      </c>
      <c r="D5" s="27" t="s">
        <v>7</v>
      </c>
      <c r="E5" s="27" t="s">
        <v>8</v>
      </c>
    </row>
    <row r="6" spans="1:5" x14ac:dyDescent="0.35">
      <c r="A6">
        <f>ROW()-ROW($A$5)</f>
        <v>1</v>
      </c>
      <c r="B6" s="27" t="s">
        <v>59</v>
      </c>
      <c r="C6" s="27" t="s">
        <v>43</v>
      </c>
      <c r="D6" s="27" t="s">
        <v>69</v>
      </c>
      <c r="E6" s="27">
        <v>1326550589</v>
      </c>
    </row>
    <row r="7" spans="1:5" x14ac:dyDescent="0.35">
      <c r="A7">
        <f>ROW()-ROW($A$5)</f>
        <v>2</v>
      </c>
      <c r="B7" s="27" t="s">
        <v>65</v>
      </c>
      <c r="C7" s="27" t="s">
        <v>44</v>
      </c>
      <c r="D7" s="27" t="s">
        <v>109</v>
      </c>
      <c r="E7" s="27">
        <v>1234345678</v>
      </c>
    </row>
    <row r="8" spans="1:5" x14ac:dyDescent="0.35">
      <c r="A8">
        <v>3</v>
      </c>
      <c r="B8" s="27" t="s">
        <v>66</v>
      </c>
      <c r="C8" s="27" t="s">
        <v>44</v>
      </c>
      <c r="D8" s="27" t="s">
        <v>110</v>
      </c>
      <c r="E8" s="27">
        <v>1938473283</v>
      </c>
    </row>
  </sheetData>
  <mergeCells count="1">
    <mergeCell ref="A1:E3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783D1C-5114-4872-A6AF-96BEF74408C6}">
  <sheetPr codeName="Sheet4"/>
  <dimension ref="A2:K10"/>
  <sheetViews>
    <sheetView workbookViewId="0">
      <selection activeCell="A11" sqref="A11"/>
    </sheetView>
  </sheetViews>
  <sheetFormatPr defaultRowHeight="14.5" x14ac:dyDescent="0.35"/>
  <cols>
    <col min="1" max="1" width="5.453125" style="1" customWidth="1"/>
    <col min="2" max="2" width="34.54296875" style="27" customWidth="1"/>
    <col min="3" max="3" width="18.36328125" style="27" bestFit="1" customWidth="1"/>
    <col min="4" max="4" width="16.81640625" style="27" customWidth="1"/>
    <col min="6" max="6" width="16.1796875" bestFit="1" customWidth="1"/>
    <col min="8" max="8" width="6.453125" customWidth="1"/>
    <col min="9" max="9" width="23.453125" customWidth="1"/>
    <col min="10" max="10" width="18.54296875" customWidth="1"/>
    <col min="11" max="11" width="15.7265625" customWidth="1"/>
  </cols>
  <sheetData>
    <row r="2" spans="1:11" x14ac:dyDescent="0.35">
      <c r="A2" s="56" t="s">
        <v>96</v>
      </c>
      <c r="B2" s="56"/>
      <c r="C2" s="56"/>
      <c r="D2" s="56"/>
    </row>
    <row r="3" spans="1:11" x14ac:dyDescent="0.35">
      <c r="A3" s="56"/>
      <c r="B3" s="56"/>
      <c r="C3" s="56"/>
      <c r="D3" s="56"/>
    </row>
    <row r="5" spans="1:11" x14ac:dyDescent="0.35">
      <c r="A5" s="4" t="s">
        <v>0</v>
      </c>
      <c r="B5" s="37" t="s">
        <v>6</v>
      </c>
      <c r="C5" s="37" t="s">
        <v>7</v>
      </c>
      <c r="D5" s="37" t="s">
        <v>8</v>
      </c>
      <c r="F5" s="3" t="s">
        <v>6</v>
      </c>
      <c r="H5" s="4" t="s">
        <v>0</v>
      </c>
      <c r="I5" s="3" t="s">
        <v>6</v>
      </c>
      <c r="J5" s="3" t="s">
        <v>7</v>
      </c>
      <c r="K5" s="3" t="s">
        <v>8</v>
      </c>
    </row>
    <row r="6" spans="1:11" x14ac:dyDescent="0.35">
      <c r="A6" s="1">
        <f t="shared" ref="A6:A9" si="0">ROW()-ROW($A$5)</f>
        <v>1</v>
      </c>
      <c r="B6" s="27" t="s">
        <v>27</v>
      </c>
      <c r="C6" s="27" t="s">
        <v>31</v>
      </c>
      <c r="D6" s="27">
        <v>1722960589</v>
      </c>
      <c r="F6" t="s">
        <v>133</v>
      </c>
      <c r="H6" s="1">
        <v>1</v>
      </c>
      <c r="I6" s="27" t="s">
        <v>27</v>
      </c>
      <c r="J6" s="27" t="s">
        <v>31</v>
      </c>
      <c r="K6" s="27">
        <v>1722960589</v>
      </c>
    </row>
    <row r="7" spans="1:11" x14ac:dyDescent="0.35">
      <c r="A7" s="1">
        <f t="shared" si="0"/>
        <v>2</v>
      </c>
      <c r="B7" s="27" t="s">
        <v>28</v>
      </c>
      <c r="C7" s="27" t="s">
        <v>33</v>
      </c>
      <c r="D7" s="27">
        <v>1642960416</v>
      </c>
      <c r="H7" s="1"/>
    </row>
    <row r="8" spans="1:11" x14ac:dyDescent="0.35">
      <c r="A8" s="1">
        <f t="shared" si="0"/>
        <v>3</v>
      </c>
      <c r="B8" s="27" t="s">
        <v>29</v>
      </c>
      <c r="C8" s="27" t="s">
        <v>32</v>
      </c>
      <c r="D8" s="27">
        <v>1232960369</v>
      </c>
      <c r="H8" s="1"/>
    </row>
    <row r="9" spans="1:11" x14ac:dyDescent="0.35">
      <c r="A9" s="1">
        <f t="shared" si="0"/>
        <v>4</v>
      </c>
      <c r="B9" s="27" t="s">
        <v>30</v>
      </c>
      <c r="C9" s="27" t="s">
        <v>34</v>
      </c>
      <c r="D9" s="27">
        <v>1732605546</v>
      </c>
      <c r="H9" s="1"/>
    </row>
    <row r="10" spans="1:11" x14ac:dyDescent="0.35">
      <c r="A10" s="1">
        <f>ROW()-ROW($A$5)</f>
        <v>5</v>
      </c>
      <c r="B10" s="27" t="s">
        <v>51</v>
      </c>
      <c r="C10" s="27" t="s">
        <v>52</v>
      </c>
      <c r="D10" s="27">
        <v>1722893847</v>
      </c>
      <c r="H10" s="1"/>
    </row>
  </sheetData>
  <sheetProtection selectLockedCells="1" selectUnlockedCells="1"/>
  <mergeCells count="1">
    <mergeCell ref="A2:D3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7683B1-6CE4-4F13-8FD2-D6C736F56755}">
  <sheetPr codeName="Sheet3"/>
  <dimension ref="A1:H9"/>
  <sheetViews>
    <sheetView workbookViewId="0">
      <selection activeCell="H11" sqref="H11"/>
    </sheetView>
  </sheetViews>
  <sheetFormatPr defaultRowHeight="14.5" x14ac:dyDescent="0.35"/>
  <cols>
    <col min="1" max="1" width="4.81640625" customWidth="1"/>
    <col min="2" max="3" width="17.453125" customWidth="1"/>
    <col min="4" max="4" width="30.81640625" customWidth="1"/>
    <col min="5" max="5" width="13" customWidth="1"/>
    <col min="6" max="6" width="17.1796875" style="27" customWidth="1"/>
    <col min="7" max="7" width="12.1796875" style="27" customWidth="1"/>
    <col min="8" max="8" width="16.1796875" style="27" customWidth="1"/>
  </cols>
  <sheetData>
    <row r="1" spans="1:8" x14ac:dyDescent="0.35">
      <c r="A1" s="56" t="s">
        <v>125</v>
      </c>
      <c r="B1" s="56"/>
      <c r="C1" s="56"/>
      <c r="D1" s="56"/>
      <c r="E1" s="56"/>
    </row>
    <row r="2" spans="1:8" x14ac:dyDescent="0.35">
      <c r="A2" s="56"/>
      <c r="B2" s="56"/>
      <c r="C2" s="56"/>
      <c r="D2" s="56"/>
      <c r="E2" s="56"/>
      <c r="G2" s="37" t="s">
        <v>0</v>
      </c>
      <c r="H2" s="4">
        <f>LEN(H3)</f>
        <v>2</v>
      </c>
    </row>
    <row r="3" spans="1:8" x14ac:dyDescent="0.35">
      <c r="A3" s="56"/>
      <c r="B3" s="56"/>
      <c r="C3" s="56"/>
      <c r="D3" s="56"/>
      <c r="E3" s="56"/>
      <c r="G3" s="37" t="s">
        <v>26</v>
      </c>
      <c r="H3" s="4">
        <v>12</v>
      </c>
    </row>
    <row r="5" spans="1:8" x14ac:dyDescent="0.35">
      <c r="A5" s="4" t="s">
        <v>0</v>
      </c>
      <c r="B5" s="37" t="s">
        <v>25</v>
      </c>
      <c r="C5" s="37" t="s">
        <v>9</v>
      </c>
      <c r="D5" s="37" t="s">
        <v>23</v>
      </c>
      <c r="E5" s="4" t="s">
        <v>74</v>
      </c>
      <c r="F5" s="27" t="s">
        <v>127</v>
      </c>
      <c r="G5" s="27" t="s">
        <v>4</v>
      </c>
      <c r="H5" s="27" t="s">
        <v>128</v>
      </c>
    </row>
    <row r="6" spans="1:8" x14ac:dyDescent="0.35">
      <c r="A6" s="1">
        <f t="shared" ref="A6:A8" si="0">ROW()-ROW($A$5)</f>
        <v>1</v>
      </c>
      <c r="B6" s="27" t="s">
        <v>63</v>
      </c>
      <c r="C6" s="27" t="s">
        <v>53</v>
      </c>
      <c r="D6" s="27" t="s">
        <v>57</v>
      </c>
      <c r="E6" s="1" t="s">
        <v>90</v>
      </c>
      <c r="F6" s="27">
        <v>20</v>
      </c>
      <c r="G6" s="27">
        <v>55</v>
      </c>
      <c r="H6" s="38">
        <v>45052</v>
      </c>
    </row>
    <row r="7" spans="1:8" x14ac:dyDescent="0.35">
      <c r="A7" s="1">
        <f t="shared" si="0"/>
        <v>2</v>
      </c>
      <c r="B7" s="27" t="s">
        <v>67</v>
      </c>
      <c r="C7" s="27" t="s">
        <v>54</v>
      </c>
      <c r="D7" s="27" t="s">
        <v>58</v>
      </c>
      <c r="E7" s="1" t="s">
        <v>91</v>
      </c>
      <c r="F7" s="27">
        <v>10</v>
      </c>
      <c r="G7" s="27">
        <v>5</v>
      </c>
      <c r="H7" s="38">
        <v>45235</v>
      </c>
    </row>
    <row r="8" spans="1:8" x14ac:dyDescent="0.35">
      <c r="A8" s="1">
        <f t="shared" si="0"/>
        <v>3</v>
      </c>
      <c r="B8" s="27" t="s">
        <v>68</v>
      </c>
      <c r="C8" s="27" t="s">
        <v>55</v>
      </c>
      <c r="D8" s="27" t="s">
        <v>11</v>
      </c>
      <c r="E8" s="1" t="s">
        <v>92</v>
      </c>
      <c r="F8" s="27">
        <v>50</v>
      </c>
      <c r="G8" s="27">
        <v>25</v>
      </c>
      <c r="H8" s="38">
        <v>45082</v>
      </c>
    </row>
    <row r="9" spans="1:8" x14ac:dyDescent="0.35">
      <c r="A9" s="1">
        <f>ROW()-ROW($A$5)</f>
        <v>4</v>
      </c>
      <c r="B9" s="27" t="s">
        <v>64</v>
      </c>
      <c r="C9" s="27" t="s">
        <v>56</v>
      </c>
      <c r="D9" s="27" t="s">
        <v>10</v>
      </c>
      <c r="E9" s="1" t="s">
        <v>126</v>
      </c>
      <c r="F9" s="1">
        <v>10</v>
      </c>
      <c r="G9" s="27">
        <v>20</v>
      </c>
      <c r="H9" s="5">
        <v>45144</v>
      </c>
    </row>
  </sheetData>
  <mergeCells count="1">
    <mergeCell ref="A1:E3"/>
  </mergeCells>
  <phoneticPr fontId="10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027848-4CC1-49D9-9EC7-C8001B0C133B}">
  <sheetPr codeName="Sheet7"/>
  <dimension ref="A2:H9"/>
  <sheetViews>
    <sheetView workbookViewId="0">
      <selection activeCell="G12" sqref="G12"/>
    </sheetView>
  </sheetViews>
  <sheetFormatPr defaultRowHeight="14.5" x14ac:dyDescent="0.35"/>
  <cols>
    <col min="1" max="1" width="5.26953125" style="1" customWidth="1"/>
    <col min="2" max="2" width="16.26953125" style="27" customWidth="1"/>
    <col min="3" max="3" width="15" style="27" customWidth="1"/>
    <col min="4" max="4" width="17.81640625" style="27" customWidth="1"/>
    <col min="5" max="5" width="15" style="1" customWidth="1"/>
    <col min="6" max="6" width="18" style="1" customWidth="1"/>
    <col min="7" max="7" width="15.1796875" style="27" customWidth="1"/>
    <col min="8" max="8" width="9.26953125" customWidth="1"/>
  </cols>
  <sheetData>
    <row r="2" spans="1:8" x14ac:dyDescent="0.35">
      <c r="A2" s="58" t="s">
        <v>98</v>
      </c>
      <c r="B2" s="58"/>
      <c r="C2" s="58"/>
      <c r="D2" s="58"/>
      <c r="E2" s="58"/>
      <c r="F2" s="58"/>
      <c r="G2" s="58"/>
    </row>
    <row r="3" spans="1:8" x14ac:dyDescent="0.35">
      <c r="A3" s="58"/>
      <c r="B3" s="58"/>
      <c r="C3" s="58"/>
      <c r="D3" s="58"/>
      <c r="E3" s="58"/>
      <c r="F3" s="58"/>
      <c r="G3" s="58"/>
    </row>
    <row r="5" spans="1:8" x14ac:dyDescent="0.35">
      <c r="A5" s="4" t="s">
        <v>0</v>
      </c>
      <c r="B5" s="37" t="s">
        <v>25</v>
      </c>
      <c r="C5" s="37" t="s">
        <v>9</v>
      </c>
      <c r="D5" s="37" t="s">
        <v>23</v>
      </c>
      <c r="E5" s="4" t="s">
        <v>74</v>
      </c>
      <c r="F5" s="4" t="s">
        <v>73</v>
      </c>
      <c r="G5" s="37" t="s">
        <v>72</v>
      </c>
    </row>
    <row r="6" spans="1:8" x14ac:dyDescent="0.35">
      <c r="A6" s="1">
        <f t="shared" ref="A6:A8" si="0">ROW()-ROW($A$5)</f>
        <v>1</v>
      </c>
      <c r="B6" s="27" t="s">
        <v>63</v>
      </c>
      <c r="C6" s="27" t="s">
        <v>53</v>
      </c>
      <c r="D6" s="27" t="s">
        <v>57</v>
      </c>
      <c r="E6" s="1" t="s">
        <v>90</v>
      </c>
      <c r="F6" s="1">
        <v>5</v>
      </c>
      <c r="G6" s="38">
        <v>45068</v>
      </c>
      <c r="H6" s="5"/>
    </row>
    <row r="7" spans="1:8" x14ac:dyDescent="0.35">
      <c r="A7" s="1">
        <f t="shared" si="0"/>
        <v>2</v>
      </c>
      <c r="B7" s="27" t="s">
        <v>67</v>
      </c>
      <c r="C7" s="27" t="s">
        <v>54</v>
      </c>
      <c r="D7" s="27" t="s">
        <v>58</v>
      </c>
      <c r="E7" s="1" t="s">
        <v>91</v>
      </c>
      <c r="F7" s="1">
        <v>20</v>
      </c>
      <c r="G7" s="38">
        <v>45143</v>
      </c>
    </row>
    <row r="8" spans="1:8" x14ac:dyDescent="0.35">
      <c r="A8" s="1">
        <f t="shared" si="0"/>
        <v>3</v>
      </c>
      <c r="B8" s="27" t="s">
        <v>68</v>
      </c>
      <c r="C8" s="27" t="s">
        <v>55</v>
      </c>
      <c r="D8" s="27" t="s">
        <v>11</v>
      </c>
      <c r="E8" s="1" t="s">
        <v>92</v>
      </c>
      <c r="F8" s="1">
        <v>50</v>
      </c>
      <c r="G8" s="38">
        <v>45232</v>
      </c>
    </row>
    <row r="9" spans="1:8" x14ac:dyDescent="0.35">
      <c r="A9" s="1">
        <f>ROW()-ROW($A$5)</f>
        <v>4</v>
      </c>
      <c r="B9" s="27" t="s">
        <v>64</v>
      </c>
      <c r="C9" s="27" t="s">
        <v>56</v>
      </c>
      <c r="D9" s="27" t="s">
        <v>10</v>
      </c>
      <c r="E9" s="1" t="s">
        <v>126</v>
      </c>
      <c r="F9" s="1">
        <v>10</v>
      </c>
      <c r="G9" s="38">
        <v>45232</v>
      </c>
    </row>
  </sheetData>
  <mergeCells count="1">
    <mergeCell ref="A2:G3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498FD4-383E-4757-B809-523750D427C4}">
  <sheetPr codeName="Sheet9"/>
  <dimension ref="A1:E190"/>
  <sheetViews>
    <sheetView workbookViewId="0">
      <selection activeCell="C16" sqref="C16"/>
    </sheetView>
  </sheetViews>
  <sheetFormatPr defaultRowHeight="14.5" x14ac:dyDescent="0.35"/>
  <cols>
    <col min="1" max="1" width="11.81640625" customWidth="1"/>
    <col min="2" max="2" width="7.90625" style="41" bestFit="1" customWidth="1"/>
    <col min="3" max="3" width="12.36328125" style="27" customWidth="1"/>
    <col min="4" max="4" width="10.453125" style="41" customWidth="1"/>
  </cols>
  <sheetData>
    <row r="1" spans="1:5" x14ac:dyDescent="0.35">
      <c r="A1" s="61" t="s">
        <v>105</v>
      </c>
      <c r="B1" s="61"/>
      <c r="C1" s="61"/>
      <c r="D1" s="61"/>
    </row>
    <row r="2" spans="1:5" x14ac:dyDescent="0.35">
      <c r="A2" s="62" t="s">
        <v>106</v>
      </c>
      <c r="B2" s="62"/>
      <c r="C2" s="62"/>
      <c r="D2" s="62"/>
    </row>
    <row r="3" spans="1:5" ht="6.75" customHeight="1" x14ac:dyDescent="0.35">
      <c r="A3" s="10"/>
      <c r="B3" s="10"/>
      <c r="C3" s="10"/>
      <c r="D3" s="10"/>
    </row>
    <row r="4" spans="1:5" ht="9.75" customHeight="1" x14ac:dyDescent="0.35">
      <c r="A4" s="63" t="s">
        <v>47</v>
      </c>
      <c r="B4" s="63"/>
      <c r="C4" s="63"/>
      <c r="D4" s="63"/>
    </row>
    <row r="5" spans="1:5" ht="9.75" customHeight="1" x14ac:dyDescent="0.35">
      <c r="A5" s="64">
        <f ca="1">NOW()</f>
        <v>45917.869972453707</v>
      </c>
      <c r="B5" s="64"/>
      <c r="C5" s="64"/>
      <c r="D5" s="64"/>
    </row>
    <row r="6" spans="1:5" ht="7.5" customHeight="1" x14ac:dyDescent="0.35">
      <c r="A6" s="11"/>
      <c r="B6" s="12"/>
      <c r="C6" s="12"/>
      <c r="D6" s="12"/>
    </row>
    <row r="7" spans="1:5" x14ac:dyDescent="0.35">
      <c r="A7" s="13" t="s">
        <v>6</v>
      </c>
      <c r="B7" s="59" t="s">
        <v>29</v>
      </c>
      <c r="C7" s="59"/>
      <c r="D7" s="59"/>
    </row>
    <row r="8" spans="1:5" x14ac:dyDescent="0.35">
      <c r="A8" s="13" t="s">
        <v>7</v>
      </c>
      <c r="B8" s="59" t="s">
        <v>32</v>
      </c>
      <c r="C8" s="59"/>
      <c r="D8" s="59"/>
    </row>
    <row r="9" spans="1:5" x14ac:dyDescent="0.35">
      <c r="A9" s="13" t="s">
        <v>8</v>
      </c>
      <c r="B9" s="59">
        <v>1232960369</v>
      </c>
      <c r="C9" s="59"/>
      <c r="D9" s="59"/>
    </row>
    <row r="10" spans="1:5" x14ac:dyDescent="0.35">
      <c r="A10" s="13" t="s">
        <v>107</v>
      </c>
      <c r="B10" s="59" t="s">
        <v>134</v>
      </c>
      <c r="C10" s="59"/>
      <c r="D10" s="59"/>
    </row>
    <row r="11" spans="1:5" ht="5.25" customHeight="1" x14ac:dyDescent="0.35">
      <c r="A11" s="14"/>
      <c r="B11" s="14"/>
      <c r="C11" s="15"/>
      <c r="D11" s="14"/>
    </row>
    <row r="12" spans="1:5" ht="5.25" customHeight="1" x14ac:dyDescent="0.35">
      <c r="A12" s="60"/>
      <c r="B12" s="60"/>
      <c r="C12" s="60"/>
      <c r="D12" s="60"/>
    </row>
    <row r="13" spans="1:5" x14ac:dyDescent="0.35">
      <c r="A13" s="16" t="s">
        <v>3</v>
      </c>
      <c r="B13" s="17" t="s">
        <v>13</v>
      </c>
      <c r="C13" s="18" t="s">
        <v>60</v>
      </c>
      <c r="D13" s="17" t="s">
        <v>5</v>
      </c>
      <c r="E13" s="19" t="s">
        <v>108</v>
      </c>
    </row>
    <row r="14" spans="1:5" x14ac:dyDescent="0.35">
      <c r="A14" s="20"/>
      <c r="B14" s="39"/>
      <c r="C14" s="21"/>
      <c r="D14" s="39"/>
      <c r="E14" s="21"/>
    </row>
    <row r="15" spans="1:5" x14ac:dyDescent="0.35">
      <c r="A15" s="20"/>
      <c r="B15" s="39"/>
      <c r="C15" s="21"/>
      <c r="D15" s="39"/>
      <c r="E15" s="21"/>
    </row>
    <row r="16" spans="1:5" x14ac:dyDescent="0.35">
      <c r="A16" s="20"/>
      <c r="B16" s="39"/>
      <c r="C16" s="21"/>
      <c r="D16" s="39"/>
      <c r="E16" s="21"/>
    </row>
    <row r="17" spans="1:5" x14ac:dyDescent="0.35">
      <c r="A17" s="20"/>
      <c r="B17" s="39"/>
      <c r="C17" s="21"/>
      <c r="D17" s="39"/>
      <c r="E17" s="21"/>
    </row>
    <row r="18" spans="1:5" x14ac:dyDescent="0.35">
      <c r="A18" s="20"/>
      <c r="B18" s="39"/>
      <c r="C18" s="21"/>
      <c r="D18" s="39"/>
      <c r="E18" s="21"/>
    </row>
    <row r="19" spans="1:5" x14ac:dyDescent="0.35">
      <c r="A19" s="20"/>
      <c r="B19" s="39"/>
      <c r="C19" s="21"/>
      <c r="D19" s="39"/>
      <c r="E19" s="21"/>
    </row>
    <row r="20" spans="1:5" x14ac:dyDescent="0.35">
      <c r="A20" s="20"/>
      <c r="B20" s="39"/>
      <c r="C20" s="21"/>
      <c r="D20" s="39"/>
      <c r="E20" s="21"/>
    </row>
    <row r="21" spans="1:5" x14ac:dyDescent="0.35">
      <c r="A21" s="20"/>
      <c r="B21" s="39"/>
      <c r="C21" s="21"/>
      <c r="D21" s="39"/>
      <c r="E21" s="21"/>
    </row>
    <row r="22" spans="1:5" x14ac:dyDescent="0.35">
      <c r="A22" s="22"/>
      <c r="B22" s="42"/>
      <c r="C22" s="23"/>
      <c r="D22" s="42"/>
    </row>
    <row r="23" spans="1:5" x14ac:dyDescent="0.35">
      <c r="A23" s="20"/>
      <c r="B23" s="39"/>
      <c r="C23" s="21"/>
      <c r="D23" s="39"/>
    </row>
    <row r="24" spans="1:5" x14ac:dyDescent="0.35">
      <c r="A24" s="20"/>
      <c r="B24" s="39"/>
      <c r="C24" s="21"/>
      <c r="D24" s="39"/>
    </row>
    <row r="25" spans="1:5" x14ac:dyDescent="0.35">
      <c r="A25" s="20"/>
      <c r="B25" s="39"/>
      <c r="C25" s="21"/>
      <c r="D25" s="39"/>
    </row>
    <row r="26" spans="1:5" x14ac:dyDescent="0.35">
      <c r="A26" s="20"/>
      <c r="B26" s="39"/>
      <c r="C26" s="21"/>
      <c r="D26" s="39"/>
    </row>
    <row r="27" spans="1:5" x14ac:dyDescent="0.35">
      <c r="A27" s="20"/>
      <c r="B27" s="39" t="s">
        <v>5</v>
      </c>
      <c r="C27" s="21"/>
      <c r="D27" s="39">
        <v>200</v>
      </c>
    </row>
    <row r="28" spans="1:5" x14ac:dyDescent="0.35">
      <c r="A28" s="20"/>
      <c r="B28" s="39" t="s">
        <v>130</v>
      </c>
      <c r="C28" s="21"/>
      <c r="D28" s="39">
        <v>300</v>
      </c>
    </row>
    <row r="29" spans="1:5" x14ac:dyDescent="0.35">
      <c r="A29" s="20"/>
      <c r="B29" s="39" t="s">
        <v>131</v>
      </c>
      <c r="C29" s="21"/>
      <c r="D29" s="39">
        <v>100</v>
      </c>
    </row>
    <row r="30" spans="1:5" x14ac:dyDescent="0.35">
      <c r="A30" s="20"/>
      <c r="B30" s="39" t="s">
        <v>132</v>
      </c>
      <c r="C30" s="21"/>
      <c r="D30" s="39" t="s">
        <v>102</v>
      </c>
    </row>
    <row r="31" spans="1:5" x14ac:dyDescent="0.35">
      <c r="A31" s="20"/>
      <c r="B31" s="39"/>
      <c r="C31" s="21"/>
      <c r="D31" s="39"/>
    </row>
    <row r="32" spans="1:5" x14ac:dyDescent="0.35">
      <c r="A32" s="20"/>
      <c r="B32" s="39"/>
      <c r="C32" s="21"/>
      <c r="D32" s="39"/>
    </row>
    <row r="33" spans="1:4" x14ac:dyDescent="0.35">
      <c r="A33" s="20"/>
      <c r="B33" s="39"/>
      <c r="C33" s="21"/>
      <c r="D33" s="39"/>
    </row>
    <row r="34" spans="1:4" x14ac:dyDescent="0.35">
      <c r="A34" s="20"/>
      <c r="B34" s="39"/>
      <c r="C34" s="21"/>
      <c r="D34" s="39"/>
    </row>
    <row r="35" spans="1:4" x14ac:dyDescent="0.35">
      <c r="A35" s="20"/>
      <c r="B35" s="39"/>
      <c r="C35" s="21"/>
      <c r="D35" s="39"/>
    </row>
    <row r="36" spans="1:4" x14ac:dyDescent="0.35">
      <c r="A36" s="20"/>
      <c r="B36" s="39"/>
      <c r="C36" s="21"/>
      <c r="D36" s="39"/>
    </row>
    <row r="37" spans="1:4" x14ac:dyDescent="0.35">
      <c r="A37" s="20"/>
      <c r="B37" s="39"/>
      <c r="C37" s="21"/>
      <c r="D37" s="39"/>
    </row>
    <row r="38" spans="1:4" x14ac:dyDescent="0.35">
      <c r="A38" s="20"/>
      <c r="B38" s="39"/>
      <c r="C38" s="21"/>
      <c r="D38" s="39"/>
    </row>
    <row r="39" spans="1:4" x14ac:dyDescent="0.35">
      <c r="A39" s="20"/>
      <c r="B39" s="39"/>
      <c r="C39" s="21"/>
      <c r="D39" s="39"/>
    </row>
    <row r="40" spans="1:4" x14ac:dyDescent="0.35">
      <c r="A40" s="20"/>
      <c r="B40" s="39"/>
      <c r="C40" s="21"/>
      <c r="D40" s="39"/>
    </row>
    <row r="41" spans="1:4" x14ac:dyDescent="0.35">
      <c r="A41" s="20"/>
      <c r="B41" s="39"/>
      <c r="C41" s="21"/>
      <c r="D41" s="39"/>
    </row>
    <row r="42" spans="1:4" x14ac:dyDescent="0.35">
      <c r="A42" s="20"/>
      <c r="B42" s="39"/>
      <c r="C42" s="21"/>
      <c r="D42" s="39"/>
    </row>
    <row r="43" spans="1:4" x14ac:dyDescent="0.35">
      <c r="A43" s="20"/>
      <c r="B43" s="39"/>
      <c r="C43" s="21"/>
      <c r="D43" s="39"/>
    </row>
    <row r="44" spans="1:4" x14ac:dyDescent="0.35">
      <c r="A44" s="20"/>
      <c r="B44" s="39"/>
      <c r="C44" s="21"/>
      <c r="D44" s="39"/>
    </row>
    <row r="45" spans="1:4" x14ac:dyDescent="0.35">
      <c r="A45" s="20"/>
      <c r="B45" s="39"/>
      <c r="C45" s="21"/>
      <c r="D45" s="39"/>
    </row>
    <row r="46" spans="1:4" x14ac:dyDescent="0.35">
      <c r="A46" s="20"/>
      <c r="B46" s="39"/>
      <c r="C46" s="21"/>
      <c r="D46" s="39"/>
    </row>
    <row r="47" spans="1:4" x14ac:dyDescent="0.35">
      <c r="A47" s="20"/>
      <c r="B47" s="39"/>
      <c r="C47" s="21"/>
      <c r="D47" s="39"/>
    </row>
    <row r="48" spans="1:4" x14ac:dyDescent="0.35">
      <c r="A48" s="20"/>
      <c r="B48" s="39"/>
      <c r="C48" s="21"/>
      <c r="D48" s="39"/>
    </row>
    <row r="49" spans="1:4" x14ac:dyDescent="0.35">
      <c r="A49" s="20"/>
      <c r="B49" s="39"/>
      <c r="C49" s="21"/>
      <c r="D49" s="39"/>
    </row>
    <row r="50" spans="1:4" x14ac:dyDescent="0.35">
      <c r="A50" s="20"/>
      <c r="B50" s="39"/>
      <c r="C50" s="21"/>
      <c r="D50" s="39"/>
    </row>
    <row r="51" spans="1:4" x14ac:dyDescent="0.35">
      <c r="A51" s="20"/>
      <c r="B51" s="39"/>
      <c r="C51" s="21"/>
      <c r="D51" s="39"/>
    </row>
    <row r="52" spans="1:4" x14ac:dyDescent="0.35">
      <c r="A52" s="20"/>
      <c r="B52" s="39"/>
      <c r="C52" s="21"/>
      <c r="D52" s="39"/>
    </row>
    <row r="53" spans="1:4" x14ac:dyDescent="0.35">
      <c r="A53" s="20"/>
      <c r="B53" s="39"/>
      <c r="C53" s="21"/>
      <c r="D53" s="39"/>
    </row>
    <row r="54" spans="1:4" x14ac:dyDescent="0.35">
      <c r="A54" s="20"/>
      <c r="B54" s="39"/>
      <c r="C54" s="21"/>
      <c r="D54" s="39"/>
    </row>
    <row r="55" spans="1:4" x14ac:dyDescent="0.35">
      <c r="A55" s="20"/>
      <c r="B55" s="39"/>
      <c r="C55" s="21"/>
      <c r="D55" s="39"/>
    </row>
    <row r="56" spans="1:4" x14ac:dyDescent="0.35">
      <c r="A56" s="20"/>
      <c r="B56" s="39"/>
      <c r="C56" s="21"/>
      <c r="D56" s="39"/>
    </row>
    <row r="57" spans="1:4" x14ac:dyDescent="0.35">
      <c r="A57" s="20"/>
      <c r="B57" s="39"/>
      <c r="C57" s="21"/>
      <c r="D57" s="39"/>
    </row>
    <row r="58" spans="1:4" x14ac:dyDescent="0.35">
      <c r="A58" s="20"/>
      <c r="B58" s="39"/>
      <c r="C58" s="21"/>
      <c r="D58" s="39"/>
    </row>
    <row r="59" spans="1:4" x14ac:dyDescent="0.35">
      <c r="A59" s="20"/>
      <c r="B59" s="39"/>
      <c r="C59" s="21"/>
      <c r="D59" s="39"/>
    </row>
    <row r="60" spans="1:4" x14ac:dyDescent="0.35">
      <c r="A60" s="20"/>
      <c r="B60" s="39"/>
      <c r="C60" s="21"/>
      <c r="D60" s="39"/>
    </row>
    <row r="61" spans="1:4" x14ac:dyDescent="0.35">
      <c r="A61" s="20"/>
      <c r="B61" s="39"/>
      <c r="C61" s="21"/>
      <c r="D61" s="39"/>
    </row>
    <row r="62" spans="1:4" x14ac:dyDescent="0.35">
      <c r="A62" s="20"/>
      <c r="B62" s="39"/>
      <c r="C62" s="21"/>
      <c r="D62" s="39"/>
    </row>
    <row r="63" spans="1:4" x14ac:dyDescent="0.35">
      <c r="A63" s="20"/>
      <c r="B63" s="39"/>
      <c r="C63" s="21"/>
      <c r="D63" s="39"/>
    </row>
    <row r="64" spans="1:4" x14ac:dyDescent="0.35">
      <c r="A64" s="20"/>
      <c r="B64" s="39"/>
      <c r="C64" s="21"/>
      <c r="D64" s="39"/>
    </row>
    <row r="65" spans="1:4" x14ac:dyDescent="0.35">
      <c r="A65" s="20"/>
      <c r="B65" s="39"/>
      <c r="C65" s="21"/>
      <c r="D65" s="39"/>
    </row>
    <row r="66" spans="1:4" x14ac:dyDescent="0.35">
      <c r="A66" s="20"/>
      <c r="B66" s="39"/>
      <c r="C66" s="21"/>
      <c r="D66" s="39"/>
    </row>
    <row r="67" spans="1:4" x14ac:dyDescent="0.35">
      <c r="A67" s="20"/>
      <c r="B67" s="39"/>
      <c r="C67" s="21"/>
      <c r="D67" s="39"/>
    </row>
    <row r="68" spans="1:4" x14ac:dyDescent="0.35">
      <c r="A68" s="20"/>
      <c r="B68" s="39"/>
      <c r="C68" s="21"/>
      <c r="D68" s="39"/>
    </row>
    <row r="69" spans="1:4" x14ac:dyDescent="0.35">
      <c r="A69" s="20"/>
      <c r="B69" s="39"/>
      <c r="C69" s="21"/>
      <c r="D69" s="39"/>
    </row>
    <row r="70" spans="1:4" x14ac:dyDescent="0.35">
      <c r="A70" s="20"/>
      <c r="B70" s="39"/>
      <c r="C70" s="21"/>
      <c r="D70" s="39"/>
    </row>
    <row r="71" spans="1:4" x14ac:dyDescent="0.35">
      <c r="A71" s="20"/>
      <c r="B71" s="39"/>
      <c r="C71" s="21"/>
      <c r="D71" s="39"/>
    </row>
    <row r="72" spans="1:4" x14ac:dyDescent="0.35">
      <c r="A72" s="20"/>
      <c r="B72" s="39"/>
      <c r="C72" s="21"/>
      <c r="D72" s="39"/>
    </row>
    <row r="73" spans="1:4" x14ac:dyDescent="0.35">
      <c r="A73" s="20"/>
      <c r="B73" s="39"/>
      <c r="C73" s="21"/>
      <c r="D73" s="39"/>
    </row>
    <row r="74" spans="1:4" x14ac:dyDescent="0.35">
      <c r="A74" s="20"/>
      <c r="B74" s="39"/>
      <c r="C74" s="21"/>
      <c r="D74" s="39"/>
    </row>
    <row r="75" spans="1:4" x14ac:dyDescent="0.35">
      <c r="A75" s="20"/>
      <c r="B75" s="39"/>
      <c r="C75" s="21"/>
      <c r="D75" s="39"/>
    </row>
    <row r="76" spans="1:4" x14ac:dyDescent="0.35">
      <c r="A76" s="20"/>
      <c r="B76" s="39"/>
      <c r="C76" s="21"/>
      <c r="D76" s="39"/>
    </row>
    <row r="77" spans="1:4" x14ac:dyDescent="0.35">
      <c r="A77" s="20"/>
      <c r="B77" s="39"/>
      <c r="C77" s="21"/>
      <c r="D77" s="39"/>
    </row>
    <row r="78" spans="1:4" x14ac:dyDescent="0.35">
      <c r="A78" s="20"/>
      <c r="B78" s="39"/>
      <c r="C78" s="21"/>
      <c r="D78" s="39"/>
    </row>
    <row r="79" spans="1:4" x14ac:dyDescent="0.35">
      <c r="A79" s="20"/>
      <c r="B79" s="39"/>
      <c r="C79" s="21"/>
      <c r="D79" s="43"/>
    </row>
    <row r="80" spans="1:4" x14ac:dyDescent="0.35">
      <c r="A80" s="20"/>
      <c r="B80" s="39"/>
      <c r="C80" s="21"/>
      <c r="D80" s="43"/>
    </row>
    <row r="81" spans="1:4" x14ac:dyDescent="0.35">
      <c r="A81" s="20"/>
      <c r="B81" s="39"/>
      <c r="C81" s="21"/>
      <c r="D81" s="43"/>
    </row>
    <row r="82" spans="1:4" x14ac:dyDescent="0.35">
      <c r="A82" s="20"/>
      <c r="B82" s="39"/>
      <c r="C82" s="21"/>
      <c r="D82" s="43"/>
    </row>
    <row r="83" spans="1:4" x14ac:dyDescent="0.35">
      <c r="A83" s="20"/>
      <c r="B83" s="39"/>
      <c r="C83" s="21"/>
      <c r="D83" s="43"/>
    </row>
    <row r="84" spans="1:4" x14ac:dyDescent="0.35">
      <c r="A84" s="20"/>
      <c r="B84" s="39"/>
      <c r="C84" s="21"/>
      <c r="D84" s="43"/>
    </row>
    <row r="85" spans="1:4" x14ac:dyDescent="0.35">
      <c r="A85" s="20"/>
      <c r="B85" s="39"/>
      <c r="C85" s="21"/>
      <c r="D85" s="43"/>
    </row>
    <row r="86" spans="1:4" x14ac:dyDescent="0.35">
      <c r="A86" s="20"/>
      <c r="B86" s="39"/>
      <c r="C86" s="21"/>
      <c r="D86" s="43"/>
    </row>
    <row r="87" spans="1:4" x14ac:dyDescent="0.35">
      <c r="A87" s="20"/>
      <c r="B87" s="39"/>
      <c r="C87" s="21"/>
      <c r="D87" s="43"/>
    </row>
    <row r="88" spans="1:4" x14ac:dyDescent="0.35">
      <c r="A88" s="20"/>
      <c r="B88" s="39"/>
      <c r="C88" s="21"/>
      <c r="D88" s="43"/>
    </row>
    <row r="89" spans="1:4" x14ac:dyDescent="0.35">
      <c r="A89" s="20"/>
      <c r="B89" s="39"/>
      <c r="C89" s="21"/>
      <c r="D89" s="43"/>
    </row>
    <row r="90" spans="1:4" x14ac:dyDescent="0.35">
      <c r="A90" s="20"/>
      <c r="B90" s="39"/>
      <c r="C90" s="21"/>
      <c r="D90" s="43"/>
    </row>
    <row r="91" spans="1:4" x14ac:dyDescent="0.35">
      <c r="A91" s="20"/>
      <c r="B91" s="39"/>
      <c r="C91" s="21"/>
      <c r="D91" s="43"/>
    </row>
    <row r="92" spans="1:4" x14ac:dyDescent="0.35">
      <c r="A92" s="20"/>
      <c r="B92" s="39"/>
      <c r="C92" s="21"/>
      <c r="D92" s="43"/>
    </row>
    <row r="93" spans="1:4" x14ac:dyDescent="0.35">
      <c r="A93" s="20"/>
      <c r="B93" s="39"/>
      <c r="C93" s="21"/>
      <c r="D93" s="43"/>
    </row>
    <row r="94" spans="1:4" x14ac:dyDescent="0.35">
      <c r="A94" s="20"/>
      <c r="B94" s="39"/>
      <c r="C94" s="21"/>
      <c r="D94" s="43"/>
    </row>
    <row r="95" spans="1:4" x14ac:dyDescent="0.35">
      <c r="A95" s="20"/>
      <c r="B95" s="39"/>
      <c r="C95" s="21"/>
      <c r="D95" s="43"/>
    </row>
    <row r="96" spans="1:4" x14ac:dyDescent="0.35">
      <c r="A96" s="20"/>
      <c r="B96" s="39"/>
      <c r="C96" s="21"/>
      <c r="D96" s="43"/>
    </row>
    <row r="97" spans="1:4" x14ac:dyDescent="0.35">
      <c r="A97" s="20"/>
      <c r="B97" s="39"/>
      <c r="C97" s="21"/>
      <c r="D97" s="43"/>
    </row>
    <row r="98" spans="1:4" x14ac:dyDescent="0.35">
      <c r="A98" s="20"/>
      <c r="B98" s="39"/>
      <c r="C98" s="21"/>
      <c r="D98" s="43"/>
    </row>
    <row r="99" spans="1:4" x14ac:dyDescent="0.35">
      <c r="A99" s="20"/>
      <c r="B99" s="39"/>
      <c r="C99" s="21"/>
      <c r="D99" s="43"/>
    </row>
    <row r="100" spans="1:4" x14ac:dyDescent="0.35">
      <c r="A100" s="20"/>
      <c r="B100" s="39"/>
      <c r="C100" s="21"/>
      <c r="D100" s="43"/>
    </row>
    <row r="101" spans="1:4" x14ac:dyDescent="0.35">
      <c r="A101" s="20"/>
      <c r="B101" s="39"/>
      <c r="C101" s="21"/>
      <c r="D101" s="43"/>
    </row>
    <row r="102" spans="1:4" x14ac:dyDescent="0.35">
      <c r="A102" s="20"/>
      <c r="B102" s="39"/>
      <c r="C102" s="21"/>
      <c r="D102" s="43"/>
    </row>
    <row r="103" spans="1:4" x14ac:dyDescent="0.35">
      <c r="A103" s="20"/>
      <c r="B103" s="39"/>
      <c r="C103" s="21"/>
      <c r="D103" s="43"/>
    </row>
    <row r="104" spans="1:4" x14ac:dyDescent="0.35">
      <c r="A104" s="20"/>
      <c r="B104" s="39"/>
      <c r="C104" s="21"/>
      <c r="D104" s="43"/>
    </row>
    <row r="105" spans="1:4" x14ac:dyDescent="0.35">
      <c r="A105" s="20"/>
      <c r="B105" s="39"/>
      <c r="C105" s="21"/>
      <c r="D105" s="43"/>
    </row>
    <row r="106" spans="1:4" x14ac:dyDescent="0.35">
      <c r="A106" s="20"/>
      <c r="B106" s="39"/>
      <c r="C106" s="21"/>
      <c r="D106" s="43"/>
    </row>
    <row r="107" spans="1:4" x14ac:dyDescent="0.35">
      <c r="A107" s="20"/>
      <c r="B107" s="39"/>
      <c r="C107" s="21"/>
      <c r="D107" s="43"/>
    </row>
    <row r="108" spans="1:4" x14ac:dyDescent="0.35">
      <c r="A108" s="20"/>
      <c r="B108" s="39"/>
      <c r="C108" s="21"/>
      <c r="D108" s="43"/>
    </row>
    <row r="109" spans="1:4" x14ac:dyDescent="0.35">
      <c r="A109" s="20"/>
      <c r="B109" s="39"/>
      <c r="C109" s="21"/>
      <c r="D109" s="43"/>
    </row>
    <row r="110" spans="1:4" x14ac:dyDescent="0.35">
      <c r="A110" s="20"/>
      <c r="B110" s="39"/>
      <c r="C110" s="21"/>
      <c r="D110" s="43"/>
    </row>
    <row r="111" spans="1:4" x14ac:dyDescent="0.35">
      <c r="A111" s="20"/>
      <c r="B111" s="39"/>
      <c r="C111" s="21"/>
      <c r="D111" s="43"/>
    </row>
    <row r="112" spans="1:4" x14ac:dyDescent="0.35">
      <c r="A112" s="20"/>
      <c r="B112" s="39"/>
      <c r="C112" s="21"/>
      <c r="D112" s="43"/>
    </row>
    <row r="113" spans="1:4" x14ac:dyDescent="0.35">
      <c r="A113" s="20"/>
      <c r="B113" s="39"/>
      <c r="C113" s="21"/>
      <c r="D113" s="43"/>
    </row>
    <row r="114" spans="1:4" x14ac:dyDescent="0.35">
      <c r="A114" s="20"/>
      <c r="B114" s="39"/>
      <c r="C114" s="21"/>
      <c r="D114" s="43"/>
    </row>
    <row r="115" spans="1:4" x14ac:dyDescent="0.35">
      <c r="A115" s="20"/>
      <c r="B115" s="39"/>
      <c r="C115" s="21"/>
      <c r="D115" s="43"/>
    </row>
    <row r="116" spans="1:4" x14ac:dyDescent="0.35">
      <c r="A116" s="20"/>
      <c r="B116" s="39"/>
      <c r="C116" s="21"/>
      <c r="D116" s="43"/>
    </row>
    <row r="117" spans="1:4" x14ac:dyDescent="0.35">
      <c r="A117" s="20"/>
      <c r="B117" s="39"/>
      <c r="C117" s="21"/>
      <c r="D117" s="43"/>
    </row>
    <row r="118" spans="1:4" x14ac:dyDescent="0.35">
      <c r="A118" s="20"/>
      <c r="B118" s="39"/>
      <c r="C118" s="21"/>
      <c r="D118" s="43"/>
    </row>
    <row r="119" spans="1:4" x14ac:dyDescent="0.35">
      <c r="A119" s="20"/>
      <c r="B119" s="39"/>
      <c r="C119" s="21"/>
      <c r="D119" s="43"/>
    </row>
    <row r="120" spans="1:4" x14ac:dyDescent="0.35">
      <c r="A120" s="20"/>
      <c r="B120" s="39"/>
      <c r="C120" s="21"/>
      <c r="D120" s="43"/>
    </row>
    <row r="121" spans="1:4" x14ac:dyDescent="0.35">
      <c r="A121" s="20"/>
      <c r="B121" s="39"/>
      <c r="C121" s="21"/>
      <c r="D121" s="43"/>
    </row>
    <row r="122" spans="1:4" x14ac:dyDescent="0.35">
      <c r="A122" s="20"/>
      <c r="B122" s="39"/>
      <c r="C122" s="21"/>
      <c r="D122" s="43"/>
    </row>
    <row r="123" spans="1:4" x14ac:dyDescent="0.35">
      <c r="A123" s="20"/>
      <c r="B123" s="39"/>
      <c r="C123" s="21"/>
      <c r="D123" s="43"/>
    </row>
    <row r="124" spans="1:4" x14ac:dyDescent="0.35">
      <c r="A124" s="20"/>
      <c r="B124" s="39"/>
      <c r="C124" s="21"/>
      <c r="D124" s="43"/>
    </row>
    <row r="125" spans="1:4" x14ac:dyDescent="0.35">
      <c r="A125" s="20"/>
      <c r="B125" s="39"/>
      <c r="C125" s="21"/>
      <c r="D125" s="43"/>
    </row>
    <row r="126" spans="1:4" x14ac:dyDescent="0.35">
      <c r="A126" s="20"/>
      <c r="B126" s="39"/>
      <c r="C126" s="21"/>
      <c r="D126" s="43"/>
    </row>
    <row r="127" spans="1:4" x14ac:dyDescent="0.35">
      <c r="A127" s="20"/>
      <c r="B127" s="39"/>
      <c r="C127" s="21"/>
      <c r="D127" s="43"/>
    </row>
    <row r="128" spans="1:4" x14ac:dyDescent="0.35">
      <c r="A128" s="20"/>
      <c r="B128" s="39"/>
      <c r="C128" s="21"/>
      <c r="D128" s="43"/>
    </row>
    <row r="129" spans="1:4" x14ac:dyDescent="0.35">
      <c r="A129" s="20"/>
      <c r="B129" s="39"/>
      <c r="C129" s="21"/>
      <c r="D129" s="43"/>
    </row>
    <row r="130" spans="1:4" x14ac:dyDescent="0.35">
      <c r="A130" s="20"/>
      <c r="B130" s="39"/>
      <c r="C130" s="21"/>
      <c r="D130" s="43"/>
    </row>
    <row r="131" spans="1:4" x14ac:dyDescent="0.35">
      <c r="A131" s="20"/>
      <c r="B131" s="39"/>
      <c r="C131" s="21"/>
      <c r="D131" s="43"/>
    </row>
    <row r="132" spans="1:4" x14ac:dyDescent="0.35">
      <c r="A132" s="20"/>
      <c r="B132" s="39"/>
      <c r="C132" s="21"/>
      <c r="D132" s="43"/>
    </row>
    <row r="133" spans="1:4" x14ac:dyDescent="0.35">
      <c r="A133" s="20"/>
      <c r="B133" s="39"/>
      <c r="C133" s="21"/>
      <c r="D133" s="43"/>
    </row>
    <row r="134" spans="1:4" x14ac:dyDescent="0.35">
      <c r="A134" s="20"/>
      <c r="B134" s="39"/>
      <c r="C134" s="21"/>
      <c r="D134" s="43"/>
    </row>
    <row r="135" spans="1:4" x14ac:dyDescent="0.35">
      <c r="A135" s="20"/>
      <c r="B135" s="39"/>
      <c r="C135" s="21"/>
      <c r="D135" s="43"/>
    </row>
    <row r="136" spans="1:4" x14ac:dyDescent="0.35">
      <c r="A136" s="20"/>
      <c r="B136" s="39"/>
      <c r="C136" s="21"/>
      <c r="D136" s="43"/>
    </row>
    <row r="137" spans="1:4" x14ac:dyDescent="0.35">
      <c r="A137" s="20"/>
      <c r="B137" s="39"/>
      <c r="C137" s="21"/>
      <c r="D137" s="43"/>
    </row>
    <row r="138" spans="1:4" x14ac:dyDescent="0.35">
      <c r="A138" s="20"/>
      <c r="B138" s="39"/>
      <c r="C138" s="21"/>
      <c r="D138" s="43"/>
    </row>
    <row r="139" spans="1:4" x14ac:dyDescent="0.35">
      <c r="A139" s="20"/>
      <c r="B139" s="39"/>
      <c r="C139" s="21"/>
      <c r="D139" s="43"/>
    </row>
    <row r="140" spans="1:4" x14ac:dyDescent="0.35">
      <c r="A140" s="20"/>
      <c r="B140" s="39"/>
      <c r="C140" s="21"/>
      <c r="D140" s="43"/>
    </row>
    <row r="141" spans="1:4" x14ac:dyDescent="0.35">
      <c r="A141" s="20"/>
      <c r="B141" s="39"/>
      <c r="C141" s="21"/>
      <c r="D141" s="43"/>
    </row>
    <row r="142" spans="1:4" x14ac:dyDescent="0.35">
      <c r="A142" s="20"/>
      <c r="B142" s="39"/>
      <c r="C142" s="21"/>
      <c r="D142" s="43"/>
    </row>
    <row r="143" spans="1:4" x14ac:dyDescent="0.35">
      <c r="A143" s="20"/>
      <c r="B143" s="39"/>
      <c r="C143" s="21"/>
      <c r="D143" s="43"/>
    </row>
    <row r="144" spans="1:4" x14ac:dyDescent="0.35">
      <c r="A144" s="20"/>
      <c r="B144" s="39"/>
      <c r="C144" s="21"/>
      <c r="D144" s="43"/>
    </row>
    <row r="145" spans="1:4" x14ac:dyDescent="0.35">
      <c r="A145" s="20"/>
      <c r="B145" s="39"/>
      <c r="C145" s="21"/>
      <c r="D145" s="43"/>
    </row>
    <row r="146" spans="1:4" x14ac:dyDescent="0.35">
      <c r="A146" s="20"/>
      <c r="B146" s="39"/>
      <c r="C146" s="21"/>
      <c r="D146" s="43"/>
    </row>
    <row r="147" spans="1:4" x14ac:dyDescent="0.35">
      <c r="A147" s="20"/>
      <c r="B147" s="39"/>
      <c r="C147" s="21"/>
      <c r="D147" s="43"/>
    </row>
    <row r="148" spans="1:4" x14ac:dyDescent="0.35">
      <c r="A148" s="20"/>
      <c r="B148" s="39"/>
      <c r="C148" s="21"/>
      <c r="D148" s="43"/>
    </row>
    <row r="149" spans="1:4" x14ac:dyDescent="0.35">
      <c r="A149" s="20"/>
      <c r="B149" s="39"/>
      <c r="C149" s="21"/>
      <c r="D149" s="43"/>
    </row>
    <row r="150" spans="1:4" x14ac:dyDescent="0.35">
      <c r="A150" s="20"/>
      <c r="B150" s="39"/>
      <c r="C150" s="21"/>
      <c r="D150" s="43"/>
    </row>
    <row r="151" spans="1:4" x14ac:dyDescent="0.35">
      <c r="A151" s="20"/>
      <c r="B151" s="39"/>
      <c r="C151" s="21"/>
      <c r="D151" s="43"/>
    </row>
    <row r="152" spans="1:4" x14ac:dyDescent="0.35">
      <c r="A152" s="20"/>
      <c r="B152" s="39"/>
      <c r="C152" s="21"/>
      <c r="D152" s="43"/>
    </row>
    <row r="153" spans="1:4" x14ac:dyDescent="0.35">
      <c r="A153" s="20"/>
      <c r="B153" s="39"/>
      <c r="C153" s="21"/>
      <c r="D153" s="43"/>
    </row>
    <row r="154" spans="1:4" x14ac:dyDescent="0.35">
      <c r="A154" s="20"/>
      <c r="B154" s="39"/>
      <c r="C154" s="21"/>
      <c r="D154" s="43"/>
    </row>
    <row r="155" spans="1:4" x14ac:dyDescent="0.35">
      <c r="A155" s="20"/>
      <c r="B155" s="39"/>
      <c r="C155" s="21"/>
      <c r="D155" s="43"/>
    </row>
    <row r="156" spans="1:4" x14ac:dyDescent="0.35">
      <c r="A156" s="20"/>
      <c r="B156" s="39"/>
      <c r="C156" s="21"/>
      <c r="D156" s="43"/>
    </row>
    <row r="157" spans="1:4" x14ac:dyDescent="0.35">
      <c r="A157" s="20"/>
      <c r="B157" s="39"/>
      <c r="C157" s="21"/>
      <c r="D157" s="43"/>
    </row>
    <row r="158" spans="1:4" x14ac:dyDescent="0.35">
      <c r="A158" s="20"/>
      <c r="B158" s="39"/>
      <c r="C158" s="21"/>
      <c r="D158" s="43"/>
    </row>
    <row r="159" spans="1:4" x14ac:dyDescent="0.35">
      <c r="A159" s="20"/>
      <c r="B159" s="39"/>
      <c r="C159" s="21"/>
      <c r="D159" s="43"/>
    </row>
    <row r="160" spans="1:4" x14ac:dyDescent="0.35">
      <c r="A160" s="20"/>
      <c r="B160" s="39"/>
      <c r="C160" s="21"/>
      <c r="D160" s="43"/>
    </row>
    <row r="161" spans="1:4" x14ac:dyDescent="0.35">
      <c r="A161" s="20"/>
      <c r="B161" s="39"/>
      <c r="C161" s="21"/>
      <c r="D161" s="43"/>
    </row>
    <row r="162" spans="1:4" x14ac:dyDescent="0.35">
      <c r="A162" s="20"/>
      <c r="B162" s="39"/>
      <c r="C162" s="21"/>
      <c r="D162" s="43"/>
    </row>
    <row r="163" spans="1:4" x14ac:dyDescent="0.35">
      <c r="A163" s="20"/>
      <c r="B163" s="39"/>
      <c r="C163" s="21"/>
      <c r="D163" s="43"/>
    </row>
    <row r="164" spans="1:4" x14ac:dyDescent="0.35">
      <c r="A164" s="20"/>
      <c r="B164" s="39"/>
      <c r="C164" s="21"/>
      <c r="D164" s="43"/>
    </row>
    <row r="165" spans="1:4" x14ac:dyDescent="0.35">
      <c r="A165" s="20"/>
      <c r="B165" s="39"/>
      <c r="C165" s="21"/>
      <c r="D165" s="43"/>
    </row>
    <row r="166" spans="1:4" x14ac:dyDescent="0.35">
      <c r="A166" s="20"/>
      <c r="B166" s="39"/>
      <c r="C166" s="21"/>
      <c r="D166" s="43"/>
    </row>
    <row r="167" spans="1:4" x14ac:dyDescent="0.35">
      <c r="A167" s="20"/>
      <c r="B167" s="39"/>
      <c r="C167" s="21"/>
      <c r="D167" s="43"/>
    </row>
    <row r="168" spans="1:4" x14ac:dyDescent="0.35">
      <c r="A168" s="20"/>
      <c r="B168" s="39"/>
      <c r="C168" s="21"/>
      <c r="D168" s="43"/>
    </row>
    <row r="169" spans="1:4" x14ac:dyDescent="0.35">
      <c r="A169" s="20"/>
      <c r="B169" s="39"/>
      <c r="C169" s="21"/>
      <c r="D169" s="43"/>
    </row>
    <row r="170" spans="1:4" x14ac:dyDescent="0.35">
      <c r="A170" s="20"/>
      <c r="B170" s="39"/>
      <c r="C170" s="21"/>
      <c r="D170" s="43"/>
    </row>
    <row r="171" spans="1:4" x14ac:dyDescent="0.35">
      <c r="A171" s="20"/>
      <c r="B171" s="39"/>
      <c r="C171" s="21"/>
      <c r="D171" s="43"/>
    </row>
    <row r="172" spans="1:4" x14ac:dyDescent="0.35">
      <c r="A172" s="20"/>
      <c r="B172" s="39"/>
      <c r="C172" s="21"/>
      <c r="D172" s="43"/>
    </row>
    <row r="173" spans="1:4" x14ac:dyDescent="0.35">
      <c r="A173" s="20"/>
      <c r="B173" s="39"/>
      <c r="C173" s="21"/>
      <c r="D173" s="43"/>
    </row>
    <row r="174" spans="1:4" x14ac:dyDescent="0.35">
      <c r="A174" s="20"/>
      <c r="B174" s="39"/>
      <c r="C174" s="21"/>
      <c r="D174" s="43"/>
    </row>
    <row r="175" spans="1:4" x14ac:dyDescent="0.35">
      <c r="A175" s="20"/>
      <c r="B175" s="39"/>
      <c r="C175" s="21"/>
      <c r="D175" s="43"/>
    </row>
    <row r="176" spans="1:4" x14ac:dyDescent="0.35">
      <c r="A176" s="20"/>
      <c r="B176" s="39"/>
      <c r="C176" s="21"/>
      <c r="D176" s="43"/>
    </row>
    <row r="177" spans="1:4" x14ac:dyDescent="0.35">
      <c r="A177" s="20"/>
      <c r="B177" s="39"/>
      <c r="C177" s="21"/>
      <c r="D177" s="43"/>
    </row>
    <row r="178" spans="1:4" x14ac:dyDescent="0.35">
      <c r="A178" s="20"/>
      <c r="B178" s="39"/>
      <c r="C178" s="21"/>
      <c r="D178" s="43"/>
    </row>
    <row r="179" spans="1:4" x14ac:dyDescent="0.35">
      <c r="A179" s="20"/>
      <c r="B179" s="39"/>
      <c r="C179" s="21"/>
      <c r="D179" s="43"/>
    </row>
    <row r="180" spans="1:4" x14ac:dyDescent="0.35">
      <c r="A180" s="20"/>
      <c r="B180" s="39"/>
      <c r="C180" s="21"/>
      <c r="D180" s="43"/>
    </row>
    <row r="181" spans="1:4" x14ac:dyDescent="0.35">
      <c r="A181" s="20"/>
      <c r="B181" s="39"/>
      <c r="C181" s="21"/>
      <c r="D181" s="43"/>
    </row>
    <row r="182" spans="1:4" x14ac:dyDescent="0.35">
      <c r="A182" s="20"/>
      <c r="B182" s="39"/>
      <c r="C182" s="21"/>
      <c r="D182" s="43"/>
    </row>
    <row r="183" spans="1:4" x14ac:dyDescent="0.35">
      <c r="A183" s="20"/>
      <c r="B183" s="39"/>
      <c r="C183" s="21"/>
      <c r="D183" s="43"/>
    </row>
    <row r="184" spans="1:4" x14ac:dyDescent="0.35">
      <c r="A184" s="20"/>
      <c r="B184" s="39"/>
      <c r="C184" s="24"/>
      <c r="D184" s="43"/>
    </row>
    <row r="185" spans="1:4" x14ac:dyDescent="0.35">
      <c r="A185" s="20"/>
      <c r="B185" s="39"/>
      <c r="C185" s="24"/>
      <c r="D185" s="43"/>
    </row>
    <row r="186" spans="1:4" x14ac:dyDescent="0.35">
      <c r="A186" s="20"/>
      <c r="B186" s="39"/>
      <c r="C186" s="24"/>
      <c r="D186" s="43"/>
    </row>
    <row r="187" spans="1:4" x14ac:dyDescent="0.35">
      <c r="A187" s="20"/>
      <c r="B187" s="39"/>
      <c r="C187" s="24"/>
      <c r="D187" s="43"/>
    </row>
    <row r="188" spans="1:4" x14ac:dyDescent="0.35">
      <c r="A188" s="20"/>
      <c r="B188" s="39"/>
      <c r="C188" s="24"/>
      <c r="D188" s="43"/>
    </row>
    <row r="189" spans="1:4" x14ac:dyDescent="0.35">
      <c r="A189" s="20"/>
      <c r="B189" s="39"/>
      <c r="C189" s="24"/>
      <c r="D189" s="43"/>
    </row>
    <row r="190" spans="1:4" x14ac:dyDescent="0.35">
      <c r="A190" s="25"/>
      <c r="B190" s="40"/>
      <c r="C190" s="26"/>
      <c r="D190" s="40"/>
    </row>
  </sheetData>
  <mergeCells count="9">
    <mergeCell ref="B9:D9"/>
    <mergeCell ref="B10:D10"/>
    <mergeCell ref="A12:D12"/>
    <mergeCell ref="A1:D1"/>
    <mergeCell ref="A2:D2"/>
    <mergeCell ref="A4:D4"/>
    <mergeCell ref="A5:D5"/>
    <mergeCell ref="B7:D7"/>
    <mergeCell ref="B8:D8"/>
  </mergeCell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397613-5C94-4CA5-8323-51997C37CDAF}">
  <sheetPr codeName="Sheet5"/>
  <dimension ref="A2:M22"/>
  <sheetViews>
    <sheetView workbookViewId="0">
      <selection activeCell="C4" sqref="C4"/>
    </sheetView>
  </sheetViews>
  <sheetFormatPr defaultRowHeight="14.5" x14ac:dyDescent="0.35"/>
  <cols>
    <col min="1" max="1" width="5" style="1" customWidth="1"/>
    <col min="2" max="2" width="18" style="27" bestFit="1" customWidth="1"/>
    <col min="3" max="3" width="17.7265625" style="27" customWidth="1"/>
    <col min="4" max="4" width="20.54296875" style="27" customWidth="1"/>
    <col min="5" max="5" width="27.1796875" style="27" customWidth="1"/>
    <col min="6" max="6" width="20.54296875" style="27" customWidth="1"/>
    <col min="7" max="7" width="14.453125" style="1" customWidth="1"/>
    <col min="8" max="8" width="14.90625" style="1" bestFit="1" customWidth="1"/>
    <col min="9" max="9" width="31.7265625" style="27" bestFit="1" customWidth="1"/>
    <col min="10" max="10" width="19.36328125" style="1" bestFit="1" customWidth="1"/>
    <col min="11" max="11" width="14" style="29" bestFit="1" customWidth="1"/>
    <col min="12" max="12" width="16.54296875" style="49" customWidth="1"/>
    <col min="13" max="13" width="13.7265625" style="1" bestFit="1" customWidth="1"/>
  </cols>
  <sheetData>
    <row r="2" spans="1:13" x14ac:dyDescent="0.35">
      <c r="A2" s="56" t="s">
        <v>99</v>
      </c>
      <c r="B2" s="56"/>
      <c r="C2" s="56"/>
      <c r="D2" s="56"/>
      <c r="E2" s="56"/>
      <c r="F2" s="56"/>
      <c r="G2" s="56"/>
    </row>
    <row r="3" spans="1:13" x14ac:dyDescent="0.35">
      <c r="A3" s="56"/>
      <c r="B3" s="56"/>
      <c r="C3" s="56"/>
      <c r="D3" s="56"/>
      <c r="E3" s="56"/>
      <c r="F3" s="56"/>
      <c r="G3" s="56"/>
      <c r="L3" s="49">
        <f>SUM($L$6:$L$1048576)</f>
        <v>1825</v>
      </c>
    </row>
    <row r="5" spans="1:13" x14ac:dyDescent="0.35">
      <c r="A5" s="4" t="s">
        <v>0</v>
      </c>
      <c r="B5" s="37" t="s">
        <v>40</v>
      </c>
      <c r="C5" s="37" t="s">
        <v>35</v>
      </c>
      <c r="D5" s="37" t="s">
        <v>6</v>
      </c>
      <c r="E5" s="37" t="s">
        <v>7</v>
      </c>
      <c r="F5" s="4" t="s">
        <v>8</v>
      </c>
      <c r="G5" s="4" t="s">
        <v>36</v>
      </c>
      <c r="H5" s="4" t="s">
        <v>37</v>
      </c>
      <c r="I5" s="37" t="s">
        <v>38</v>
      </c>
      <c r="J5" s="4" t="s">
        <v>60</v>
      </c>
      <c r="K5" s="30" t="s">
        <v>13</v>
      </c>
      <c r="L5" s="50" t="s">
        <v>39</v>
      </c>
      <c r="M5" s="8" t="s">
        <v>61</v>
      </c>
    </row>
    <row r="6" spans="1:13" x14ac:dyDescent="0.35">
      <c r="A6" s="1">
        <f t="shared" ref="A6:A9" si="0">ROW()-ROW($A$5)</f>
        <v>1</v>
      </c>
      <c r="B6" s="27" t="s">
        <v>63</v>
      </c>
      <c r="C6" s="27" t="s">
        <v>59</v>
      </c>
      <c r="D6" s="27" t="s">
        <v>78</v>
      </c>
      <c r="E6" s="27" t="s">
        <v>82</v>
      </c>
      <c r="F6" s="27">
        <v>1837386428</v>
      </c>
      <c r="G6" s="48">
        <v>45242</v>
      </c>
      <c r="H6" s="48">
        <v>45245</v>
      </c>
      <c r="I6" s="27" t="s">
        <v>86</v>
      </c>
      <c r="J6" s="1">
        <v>3</v>
      </c>
      <c r="K6" s="33">
        <v>40</v>
      </c>
      <c r="L6" s="49">
        <v>120</v>
      </c>
      <c r="M6" s="1">
        <v>1</v>
      </c>
    </row>
    <row r="7" spans="1:13" x14ac:dyDescent="0.35">
      <c r="A7" s="1">
        <f t="shared" si="0"/>
        <v>2</v>
      </c>
      <c r="B7" s="27" t="s">
        <v>67</v>
      </c>
      <c r="C7" s="27" t="s">
        <v>59</v>
      </c>
      <c r="D7" s="27" t="s">
        <v>79</v>
      </c>
      <c r="E7" s="27" t="s">
        <v>83</v>
      </c>
      <c r="F7" s="27">
        <v>1723647839</v>
      </c>
      <c r="G7" s="48">
        <v>45028</v>
      </c>
      <c r="H7" s="48">
        <v>45033</v>
      </c>
      <c r="I7" s="27" t="s">
        <v>87</v>
      </c>
      <c r="J7" s="1">
        <v>2</v>
      </c>
      <c r="K7" s="33">
        <v>25</v>
      </c>
      <c r="L7" s="49">
        <v>50</v>
      </c>
      <c r="M7" s="1">
        <v>2</v>
      </c>
    </row>
    <row r="8" spans="1:13" x14ac:dyDescent="0.35">
      <c r="A8" s="1">
        <f>ROW()-ROW($A$5)</f>
        <v>3</v>
      </c>
      <c r="B8" s="27" t="s">
        <v>68</v>
      </c>
      <c r="C8" s="27" t="s">
        <v>66</v>
      </c>
      <c r="D8" s="27" t="s">
        <v>80</v>
      </c>
      <c r="E8" s="27" t="s">
        <v>84</v>
      </c>
      <c r="F8" s="27">
        <v>1348576545</v>
      </c>
      <c r="G8" s="48">
        <v>45270</v>
      </c>
      <c r="H8" s="48">
        <v>45275</v>
      </c>
      <c r="I8" s="27" t="s">
        <v>88</v>
      </c>
      <c r="J8" s="1">
        <v>5</v>
      </c>
      <c r="K8" s="29">
        <v>15</v>
      </c>
      <c r="L8" s="49">
        <v>75</v>
      </c>
      <c r="M8" s="1">
        <v>3</v>
      </c>
    </row>
    <row r="9" spans="1:13" x14ac:dyDescent="0.35">
      <c r="A9" s="1">
        <f t="shared" si="0"/>
        <v>4</v>
      </c>
      <c r="B9" s="27" t="s">
        <v>64</v>
      </c>
      <c r="C9" s="27" t="s">
        <v>59</v>
      </c>
      <c r="D9" s="27" t="s">
        <v>81</v>
      </c>
      <c r="E9" s="27" t="s">
        <v>85</v>
      </c>
      <c r="F9" s="27">
        <v>1334565673</v>
      </c>
      <c r="G9" s="48">
        <v>45265</v>
      </c>
      <c r="H9" s="48">
        <v>45269</v>
      </c>
      <c r="I9" s="27" t="s">
        <v>89</v>
      </c>
      <c r="J9" s="1">
        <v>1</v>
      </c>
      <c r="K9" s="29">
        <v>25</v>
      </c>
      <c r="L9" s="49">
        <v>25</v>
      </c>
      <c r="M9" s="1">
        <v>4</v>
      </c>
    </row>
    <row r="10" spans="1:13" x14ac:dyDescent="0.35">
      <c r="A10" s="1">
        <f t="shared" ref="A10:A18" si="1">ROW()-ROW($A$5)</f>
        <v>5</v>
      </c>
      <c r="B10" s="27" t="s">
        <v>103</v>
      </c>
      <c r="C10" s="27" t="s">
        <v>59</v>
      </c>
      <c r="D10" s="27" t="s">
        <v>51</v>
      </c>
      <c r="E10" s="27" t="s">
        <v>52</v>
      </c>
      <c r="F10" s="27">
        <v>1722893847</v>
      </c>
      <c r="G10" s="48">
        <v>45296</v>
      </c>
      <c r="H10" s="48">
        <v>45309</v>
      </c>
      <c r="I10" s="27" t="s">
        <v>15</v>
      </c>
      <c r="J10" s="1">
        <v>3</v>
      </c>
      <c r="K10" s="29">
        <v>40</v>
      </c>
      <c r="L10" s="49">
        <v>120</v>
      </c>
      <c r="M10" s="1">
        <v>5</v>
      </c>
    </row>
    <row r="11" spans="1:13" x14ac:dyDescent="0.35">
      <c r="A11" s="1">
        <f t="shared" si="1"/>
        <v>6</v>
      </c>
      <c r="B11" s="27" t="s">
        <v>111</v>
      </c>
      <c r="C11" s="27" t="s">
        <v>102</v>
      </c>
      <c r="D11" s="27" t="s">
        <v>51</v>
      </c>
      <c r="E11" s="27" t="s">
        <v>52</v>
      </c>
      <c r="F11" s="27">
        <v>1722893847</v>
      </c>
      <c r="G11" s="48">
        <v>45058</v>
      </c>
      <c r="H11" s="48">
        <v>45211</v>
      </c>
      <c r="I11" s="27" t="s">
        <v>15</v>
      </c>
      <c r="J11" s="1">
        <v>5</v>
      </c>
      <c r="K11" s="29">
        <v>40</v>
      </c>
      <c r="L11" s="49">
        <v>200</v>
      </c>
      <c r="M11" s="1">
        <v>6</v>
      </c>
    </row>
    <row r="12" spans="1:13" x14ac:dyDescent="0.35">
      <c r="A12" s="1">
        <f t="shared" si="1"/>
        <v>7</v>
      </c>
      <c r="B12" s="27" t="s">
        <v>113</v>
      </c>
      <c r="C12" s="27" t="s">
        <v>102</v>
      </c>
      <c r="D12" s="27" t="s">
        <v>29</v>
      </c>
      <c r="E12" s="27" t="s">
        <v>32</v>
      </c>
      <c r="F12" s="27">
        <v>1232960369</v>
      </c>
      <c r="G12" s="48">
        <v>45272</v>
      </c>
      <c r="H12" s="48">
        <v>45275</v>
      </c>
      <c r="I12" s="27" t="s">
        <v>15</v>
      </c>
      <c r="J12" s="1">
        <v>5</v>
      </c>
      <c r="K12" s="29">
        <v>40</v>
      </c>
      <c r="L12" s="49">
        <v>200</v>
      </c>
      <c r="M12" s="1">
        <v>7</v>
      </c>
    </row>
    <row r="13" spans="1:13" x14ac:dyDescent="0.35">
      <c r="A13" s="1">
        <f t="shared" si="1"/>
        <v>8</v>
      </c>
      <c r="B13" s="27" t="s">
        <v>114</v>
      </c>
      <c r="C13" s="27" t="s">
        <v>59</v>
      </c>
      <c r="D13" s="27" t="s">
        <v>27</v>
      </c>
      <c r="E13" s="27" t="s">
        <v>31</v>
      </c>
      <c r="F13" s="27">
        <v>1722960589</v>
      </c>
      <c r="G13" s="48">
        <v>37602</v>
      </c>
      <c r="H13" s="48">
        <v>37602</v>
      </c>
      <c r="I13" s="27" t="s">
        <v>17</v>
      </c>
      <c r="J13" s="1">
        <v>4</v>
      </c>
      <c r="K13" s="29">
        <v>15</v>
      </c>
      <c r="L13" s="49">
        <v>60</v>
      </c>
      <c r="M13" s="1">
        <v>8</v>
      </c>
    </row>
    <row r="14" spans="1:13" x14ac:dyDescent="0.35">
      <c r="A14" s="1">
        <f t="shared" si="1"/>
        <v>9</v>
      </c>
      <c r="B14" s="27" t="s">
        <v>114</v>
      </c>
      <c r="C14" s="27" t="s">
        <v>59</v>
      </c>
      <c r="D14" s="27" t="s">
        <v>27</v>
      </c>
      <c r="E14" s="27" t="s">
        <v>31</v>
      </c>
      <c r="F14" s="27">
        <v>1722960589</v>
      </c>
      <c r="G14" s="48">
        <v>37602</v>
      </c>
      <c r="H14" s="48">
        <v>37602</v>
      </c>
      <c r="I14" s="27" t="s">
        <v>17</v>
      </c>
      <c r="J14" s="1">
        <v>4</v>
      </c>
      <c r="K14" s="29">
        <v>15</v>
      </c>
      <c r="L14" s="49">
        <v>60</v>
      </c>
      <c r="M14" s="1">
        <v>9</v>
      </c>
    </row>
    <row r="15" spans="1:13" x14ac:dyDescent="0.35">
      <c r="A15" s="1">
        <f t="shared" si="1"/>
        <v>10</v>
      </c>
      <c r="B15" s="27" t="s">
        <v>115</v>
      </c>
      <c r="C15" s="27" t="s">
        <v>59</v>
      </c>
      <c r="D15" s="27" t="s">
        <v>29</v>
      </c>
      <c r="E15" s="27" t="s">
        <v>32</v>
      </c>
      <c r="F15" s="27">
        <v>1232960369</v>
      </c>
      <c r="G15" s="48">
        <v>45272</v>
      </c>
      <c r="H15" s="48">
        <v>45272</v>
      </c>
      <c r="I15" s="27" t="s">
        <v>15</v>
      </c>
      <c r="J15" s="1">
        <v>5</v>
      </c>
      <c r="K15" s="29">
        <v>40</v>
      </c>
      <c r="L15" s="49">
        <v>200</v>
      </c>
      <c r="M15" s="1">
        <v>10</v>
      </c>
    </row>
    <row r="16" spans="1:13" x14ac:dyDescent="0.35">
      <c r="A16" s="1">
        <f t="shared" si="1"/>
        <v>11</v>
      </c>
      <c r="B16" s="27" t="s">
        <v>116</v>
      </c>
      <c r="C16" s="27" t="s">
        <v>59</v>
      </c>
      <c r="D16" s="27" t="s">
        <v>30</v>
      </c>
      <c r="E16" s="27" t="s">
        <v>34</v>
      </c>
      <c r="F16" s="27">
        <v>1732605546</v>
      </c>
      <c r="G16" s="48">
        <v>117955</v>
      </c>
      <c r="H16" s="48">
        <v>117955</v>
      </c>
      <c r="I16" s="27" t="s">
        <v>19</v>
      </c>
      <c r="J16" s="1">
        <v>2</v>
      </c>
      <c r="K16" s="29">
        <v>25</v>
      </c>
      <c r="L16" s="49">
        <v>50</v>
      </c>
      <c r="M16" s="1">
        <v>11</v>
      </c>
    </row>
    <row r="17" spans="1:13" x14ac:dyDescent="0.35">
      <c r="A17" s="1">
        <f t="shared" si="1"/>
        <v>12</v>
      </c>
      <c r="B17" s="27" t="s">
        <v>122</v>
      </c>
      <c r="C17" s="27" t="s">
        <v>59</v>
      </c>
      <c r="D17" s="27" t="s">
        <v>51</v>
      </c>
      <c r="E17" s="27" t="s">
        <v>52</v>
      </c>
      <c r="F17" s="27">
        <v>1722893847</v>
      </c>
      <c r="G17" s="48">
        <v>45272</v>
      </c>
      <c r="H17" s="48">
        <v>45272</v>
      </c>
      <c r="I17" s="27" t="s">
        <v>17</v>
      </c>
      <c r="J17" s="1">
        <v>5</v>
      </c>
      <c r="K17" s="29">
        <v>15</v>
      </c>
      <c r="L17" s="49">
        <v>75</v>
      </c>
      <c r="M17" s="1">
        <v>12</v>
      </c>
    </row>
    <row r="18" spans="1:13" x14ac:dyDescent="0.35">
      <c r="A18" s="1">
        <f t="shared" si="1"/>
        <v>13</v>
      </c>
      <c r="B18" s="27" t="s">
        <v>123</v>
      </c>
      <c r="C18" s="27" t="s">
        <v>59</v>
      </c>
      <c r="D18" s="27" t="s">
        <v>30</v>
      </c>
      <c r="E18" s="27" t="s">
        <v>34</v>
      </c>
      <c r="F18" s="27">
        <v>1732605546</v>
      </c>
      <c r="G18" s="48">
        <v>45272</v>
      </c>
      <c r="H18" s="48">
        <v>45272</v>
      </c>
      <c r="I18" s="27" t="s">
        <v>21</v>
      </c>
      <c r="J18" s="1">
        <v>5</v>
      </c>
      <c r="K18" s="29">
        <v>20</v>
      </c>
      <c r="L18" s="49">
        <v>100</v>
      </c>
      <c r="M18" s="1">
        <v>13</v>
      </c>
    </row>
    <row r="19" spans="1:13" x14ac:dyDescent="0.35">
      <c r="A19" s="1">
        <f>ROW()-ROW($A$5)</f>
        <v>14</v>
      </c>
      <c r="B19" s="27" t="s">
        <v>124</v>
      </c>
      <c r="C19" s="27" t="s">
        <v>66</v>
      </c>
      <c r="D19" s="27" t="s">
        <v>51</v>
      </c>
      <c r="E19" s="27" t="s">
        <v>52</v>
      </c>
      <c r="F19" s="27">
        <v>1722893847</v>
      </c>
      <c r="G19" s="48">
        <v>45272</v>
      </c>
      <c r="H19" s="48">
        <v>45273</v>
      </c>
      <c r="I19" s="27" t="s">
        <v>17</v>
      </c>
      <c r="J19" s="1">
        <v>3</v>
      </c>
      <c r="K19" s="29">
        <v>15</v>
      </c>
      <c r="L19" s="49">
        <v>45</v>
      </c>
      <c r="M19" s="1">
        <v>14</v>
      </c>
    </row>
    <row r="20" spans="1:13" x14ac:dyDescent="0.35">
      <c r="A20" s="1">
        <f>ROW()-ROW($A$5)</f>
        <v>15</v>
      </c>
      <c r="B20" s="27" t="s">
        <v>124</v>
      </c>
      <c r="C20" s="27" t="s">
        <v>66</v>
      </c>
      <c r="D20" s="27" t="s">
        <v>51</v>
      </c>
      <c r="E20" s="27" t="s">
        <v>52</v>
      </c>
      <c r="F20" s="27">
        <v>1722893847</v>
      </c>
      <c r="G20" s="48">
        <v>45272</v>
      </c>
      <c r="H20" s="48">
        <v>45273</v>
      </c>
      <c r="I20" s="27" t="s">
        <v>17</v>
      </c>
      <c r="J20" s="1">
        <v>3</v>
      </c>
      <c r="K20" s="29">
        <v>15</v>
      </c>
      <c r="L20" s="49">
        <v>45</v>
      </c>
      <c r="M20" s="1">
        <v>15</v>
      </c>
    </row>
    <row r="21" spans="1:13" x14ac:dyDescent="0.35">
      <c r="A21" s="1">
        <f>ROW()-ROW($A$5)</f>
        <v>16</v>
      </c>
      <c r="B21" s="27" t="s">
        <v>129</v>
      </c>
      <c r="C21" s="27" t="s">
        <v>102</v>
      </c>
      <c r="D21" s="27" t="s">
        <v>51</v>
      </c>
      <c r="E21" s="27" t="s">
        <v>52</v>
      </c>
      <c r="F21" s="27">
        <v>1722893847</v>
      </c>
      <c r="G21" s="48">
        <v>45272</v>
      </c>
      <c r="H21" s="48">
        <v>45280</v>
      </c>
      <c r="I21" s="27" t="s">
        <v>15</v>
      </c>
      <c r="J21" s="1">
        <v>5</v>
      </c>
      <c r="K21" s="29">
        <v>40</v>
      </c>
      <c r="L21" s="49">
        <v>200</v>
      </c>
      <c r="M21" s="1">
        <v>16</v>
      </c>
    </row>
    <row r="22" spans="1:13" x14ac:dyDescent="0.35">
      <c r="A22" s="1">
        <f>ROW()-ROW($A$5)</f>
        <v>17</v>
      </c>
      <c r="B22" s="27" t="s">
        <v>134</v>
      </c>
      <c r="C22" s="27" t="s">
        <v>102</v>
      </c>
      <c r="D22" s="27" t="s">
        <v>29</v>
      </c>
      <c r="E22" s="27" t="s">
        <v>32</v>
      </c>
      <c r="F22" s="27">
        <v>1232960369</v>
      </c>
      <c r="G22" s="48">
        <v>45283</v>
      </c>
      <c r="H22" s="48">
        <v>45285</v>
      </c>
      <c r="I22" s="27" t="s">
        <v>15</v>
      </c>
      <c r="J22" s="1">
        <v>5</v>
      </c>
      <c r="K22" s="29">
        <v>40</v>
      </c>
      <c r="L22" s="49">
        <v>200</v>
      </c>
      <c r="M22" s="1">
        <v>17</v>
      </c>
    </row>
  </sheetData>
  <sheetProtection selectLockedCells="1" selectUnlockedCells="1"/>
  <mergeCells count="1">
    <mergeCell ref="A2:G3"/>
  </mergeCells>
  <phoneticPr fontId="10" type="noConversion"/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9B7E6E-9C8F-4E8B-8F36-50CAFE6AFC43}">
  <sheetPr codeName="Sheet10"/>
  <dimension ref="A2:T22"/>
  <sheetViews>
    <sheetView topLeftCell="A3" workbookViewId="0">
      <selection activeCell="A13" sqref="A13:XFD20"/>
    </sheetView>
  </sheetViews>
  <sheetFormatPr defaultRowHeight="14.5" x14ac:dyDescent="0.35"/>
  <cols>
    <col min="1" max="1" width="5.7265625" style="1" customWidth="1"/>
    <col min="2" max="2" width="18" bestFit="1" customWidth="1"/>
    <col min="3" max="3" width="18.54296875" style="2" customWidth="1"/>
    <col min="4" max="4" width="23" style="2" customWidth="1"/>
    <col min="5" max="5" width="18.1796875" style="2" customWidth="1"/>
    <col min="6" max="7" width="16.453125" style="2" customWidth="1"/>
    <col min="8" max="8" width="16.54296875" style="2" customWidth="1"/>
    <col min="9" max="9" width="15" style="2" customWidth="1"/>
    <col min="10" max="10" width="19.36328125" style="2" bestFit="1" customWidth="1"/>
    <col min="11" max="11" width="14" style="28" bestFit="1" customWidth="1"/>
    <col min="12" max="12" width="16.81640625" style="35" customWidth="1"/>
    <col min="13" max="13" width="13.7265625" bestFit="1" customWidth="1"/>
    <col min="15" max="16" width="12.7265625" bestFit="1" customWidth="1"/>
    <col min="18" max="18" width="16.54296875" style="36" bestFit="1" customWidth="1"/>
    <col min="20" max="20" width="12.54296875" bestFit="1" customWidth="1"/>
  </cols>
  <sheetData>
    <row r="2" spans="1:20" ht="23.5" customHeight="1" x14ac:dyDescent="0.35">
      <c r="A2" s="56" t="s">
        <v>100</v>
      </c>
      <c r="B2" s="56"/>
      <c r="C2" s="56"/>
      <c r="D2" s="56"/>
      <c r="E2" s="56"/>
      <c r="F2" s="56"/>
      <c r="G2" s="56"/>
    </row>
    <row r="3" spans="1:20" ht="23.5" customHeight="1" x14ac:dyDescent="0.35">
      <c r="A3" s="56"/>
      <c r="B3" s="56"/>
      <c r="C3" s="56"/>
      <c r="D3" s="56"/>
      <c r="E3" s="56"/>
      <c r="F3" s="56"/>
      <c r="G3" s="56"/>
    </row>
    <row r="5" spans="1:20" x14ac:dyDescent="0.35">
      <c r="A5" s="4" t="s">
        <v>0</v>
      </c>
      <c r="B5" s="37" t="s">
        <v>40</v>
      </c>
      <c r="C5" s="37" t="s">
        <v>35</v>
      </c>
      <c r="D5" s="37" t="s">
        <v>6</v>
      </c>
      <c r="E5" s="37" t="s">
        <v>7</v>
      </c>
      <c r="F5" s="37" t="s">
        <v>8</v>
      </c>
      <c r="G5" s="4" t="s">
        <v>36</v>
      </c>
      <c r="H5" s="4" t="s">
        <v>37</v>
      </c>
      <c r="I5" s="27" t="s">
        <v>38</v>
      </c>
      <c r="J5" s="4" t="s">
        <v>60</v>
      </c>
      <c r="K5" s="34" t="s">
        <v>13</v>
      </c>
      <c r="L5" s="52" t="s">
        <v>39</v>
      </c>
      <c r="M5" s="8" t="s">
        <v>61</v>
      </c>
      <c r="O5" s="6" t="s">
        <v>36</v>
      </c>
      <c r="P5" s="6" t="s">
        <v>37</v>
      </c>
      <c r="R5" s="32" t="s">
        <v>62</v>
      </c>
      <c r="T5" s="7" t="s">
        <v>48</v>
      </c>
    </row>
    <row r="6" spans="1:20" x14ac:dyDescent="0.35">
      <c r="A6" s="1">
        <v>17</v>
      </c>
      <c r="B6" s="27" t="s">
        <v>134</v>
      </c>
      <c r="C6" s="27" t="s">
        <v>102</v>
      </c>
      <c r="D6" s="27" t="s">
        <v>29</v>
      </c>
      <c r="E6" s="27" t="s">
        <v>32</v>
      </c>
      <c r="F6" s="27">
        <v>1232960369</v>
      </c>
      <c r="G6" s="48">
        <v>45283</v>
      </c>
      <c r="H6" s="48">
        <v>45285</v>
      </c>
      <c r="I6" s="27" t="s">
        <v>15</v>
      </c>
      <c r="J6" s="1">
        <v>5</v>
      </c>
      <c r="K6" s="29">
        <v>40</v>
      </c>
      <c r="L6" s="49">
        <v>200</v>
      </c>
      <c r="M6" s="1">
        <v>17</v>
      </c>
      <c r="O6" t="s">
        <v>135</v>
      </c>
      <c r="P6" t="s">
        <v>136</v>
      </c>
      <c r="R6" s="31">
        <f>SUM($L:$L)</f>
        <v>200</v>
      </c>
    </row>
    <row r="7" spans="1:20" x14ac:dyDescent="0.35">
      <c r="B7" s="27"/>
      <c r="C7" s="27"/>
      <c r="D7" s="27"/>
      <c r="E7" s="27"/>
      <c r="F7" s="27"/>
      <c r="G7" s="48"/>
      <c r="H7" s="48"/>
      <c r="I7" s="27"/>
      <c r="J7" s="1"/>
      <c r="K7" s="33"/>
      <c r="L7" s="49"/>
      <c r="M7" s="1"/>
    </row>
    <row r="8" spans="1:20" x14ac:dyDescent="0.35">
      <c r="B8" s="27"/>
      <c r="C8" s="27"/>
      <c r="D8" s="27"/>
      <c r="E8" s="27"/>
      <c r="F8" s="27"/>
      <c r="G8" s="48"/>
      <c r="H8" s="48"/>
      <c r="I8" s="27"/>
      <c r="J8" s="1"/>
      <c r="K8" s="29"/>
      <c r="L8" s="49"/>
      <c r="M8" s="1"/>
    </row>
    <row r="9" spans="1:20" x14ac:dyDescent="0.35">
      <c r="B9" s="27"/>
      <c r="C9" s="27"/>
      <c r="D9" s="27"/>
      <c r="E9" s="27"/>
      <c r="F9" s="27"/>
      <c r="G9" s="48"/>
      <c r="H9" s="48"/>
      <c r="I9" s="27"/>
      <c r="J9" s="1"/>
      <c r="K9" s="29"/>
      <c r="L9" s="49"/>
      <c r="M9" s="1"/>
    </row>
    <row r="10" spans="1:20" x14ac:dyDescent="0.35">
      <c r="B10" s="27"/>
      <c r="C10" s="27"/>
      <c r="D10" s="27"/>
      <c r="E10" s="27"/>
      <c r="F10" s="27"/>
      <c r="G10" s="48"/>
      <c r="H10" s="48"/>
      <c r="I10" s="27"/>
      <c r="J10" s="1"/>
      <c r="K10" s="29"/>
      <c r="L10" s="49"/>
      <c r="M10" s="1"/>
    </row>
    <row r="11" spans="1:20" x14ac:dyDescent="0.35">
      <c r="B11" s="27"/>
      <c r="C11" s="27"/>
      <c r="D11" s="27"/>
      <c r="E11" s="27"/>
      <c r="F11" s="27"/>
      <c r="G11" s="48"/>
      <c r="H11" s="48"/>
      <c r="I11" s="27"/>
      <c r="J11" s="1"/>
      <c r="K11" s="29"/>
      <c r="L11" s="49"/>
      <c r="M11" s="1"/>
    </row>
    <row r="12" spans="1:20" x14ac:dyDescent="0.35">
      <c r="B12" s="27"/>
      <c r="C12" s="27"/>
      <c r="D12" s="27"/>
      <c r="E12" s="27"/>
      <c r="F12" s="27"/>
      <c r="G12" s="48"/>
      <c r="H12" s="48"/>
      <c r="I12" s="27"/>
      <c r="J12" s="1"/>
      <c r="K12" s="29"/>
      <c r="L12" s="49"/>
      <c r="M12" s="1"/>
    </row>
    <row r="13" spans="1:20" x14ac:dyDescent="0.35">
      <c r="B13" s="27"/>
      <c r="C13" s="27"/>
      <c r="D13" s="27"/>
      <c r="E13" s="27"/>
      <c r="F13" s="27"/>
      <c r="G13" s="48"/>
      <c r="H13" s="48"/>
      <c r="I13" s="27"/>
      <c r="J13" s="1"/>
      <c r="K13" s="29"/>
      <c r="L13" s="49"/>
      <c r="M13" s="1"/>
    </row>
    <row r="14" spans="1:20" x14ac:dyDescent="0.35">
      <c r="B14" s="27"/>
      <c r="C14" s="27"/>
      <c r="D14" s="27"/>
      <c r="E14" s="27"/>
      <c r="F14" s="27"/>
      <c r="G14" s="48"/>
      <c r="H14" s="48"/>
      <c r="I14" s="27"/>
      <c r="J14" s="1"/>
      <c r="K14" s="29"/>
      <c r="L14" s="49"/>
      <c r="M14" s="1"/>
    </row>
    <row r="15" spans="1:20" x14ac:dyDescent="0.35">
      <c r="B15" s="27"/>
      <c r="C15" s="27"/>
      <c r="D15" s="27"/>
      <c r="E15" s="27"/>
      <c r="F15" s="27"/>
      <c r="G15" s="48"/>
      <c r="H15" s="48"/>
      <c r="I15" s="27"/>
      <c r="J15" s="1"/>
      <c r="K15" s="29"/>
      <c r="L15" s="49"/>
      <c r="M15" s="1"/>
    </row>
    <row r="16" spans="1:20" x14ac:dyDescent="0.35">
      <c r="B16" s="27"/>
      <c r="C16" s="27"/>
      <c r="D16" s="27"/>
      <c r="E16" s="27"/>
      <c r="F16" s="27"/>
      <c r="G16" s="48"/>
      <c r="H16" s="48"/>
      <c r="I16" s="27"/>
      <c r="J16" s="1"/>
      <c r="K16" s="29"/>
      <c r="L16" s="49"/>
      <c r="M16" s="1"/>
    </row>
    <row r="17" spans="2:13" x14ac:dyDescent="0.35">
      <c r="B17" s="27"/>
      <c r="C17" s="27"/>
      <c r="D17" s="27"/>
      <c r="E17" s="27"/>
      <c r="F17" s="27"/>
      <c r="G17" s="48"/>
      <c r="H17" s="48"/>
      <c r="I17" s="27"/>
      <c r="J17" s="1"/>
      <c r="K17" s="29"/>
      <c r="L17" s="49"/>
      <c r="M17" s="1"/>
    </row>
    <row r="18" spans="2:13" x14ac:dyDescent="0.35">
      <c r="B18" s="27"/>
      <c r="C18" s="27"/>
      <c r="D18" s="27"/>
      <c r="E18" s="27"/>
      <c r="F18" s="27"/>
      <c r="G18" s="48"/>
      <c r="H18" s="48"/>
      <c r="I18" s="27"/>
      <c r="J18" s="1"/>
      <c r="K18" s="29"/>
      <c r="L18" s="49"/>
      <c r="M18" s="1"/>
    </row>
    <row r="19" spans="2:13" x14ac:dyDescent="0.35">
      <c r="B19" s="27"/>
      <c r="C19" s="27"/>
      <c r="D19" s="27"/>
      <c r="E19" s="27"/>
      <c r="F19" s="27"/>
      <c r="G19" s="48"/>
      <c r="H19" s="48"/>
      <c r="I19" s="27"/>
      <c r="J19" s="1"/>
      <c r="K19" s="29"/>
      <c r="L19" s="49"/>
      <c r="M19" s="1"/>
    </row>
    <row r="20" spans="2:13" x14ac:dyDescent="0.35">
      <c r="B20" s="27"/>
      <c r="C20" s="27"/>
      <c r="D20" s="27"/>
      <c r="E20" s="27"/>
      <c r="F20" s="27"/>
      <c r="G20" s="48"/>
      <c r="H20" s="48"/>
      <c r="I20" s="27"/>
      <c r="J20" s="1"/>
      <c r="K20" s="29"/>
      <c r="L20" s="49"/>
      <c r="M20" s="1"/>
    </row>
    <row r="21" spans="2:13" x14ac:dyDescent="0.35">
      <c r="B21" s="27"/>
      <c r="C21" s="27"/>
      <c r="D21" s="27"/>
      <c r="E21" s="27"/>
      <c r="F21" s="27"/>
      <c r="G21" s="48"/>
      <c r="H21" s="48"/>
      <c r="I21" s="27"/>
      <c r="J21" s="1"/>
      <c r="K21" s="29"/>
      <c r="L21" s="49"/>
      <c r="M21" s="1"/>
    </row>
    <row r="22" spans="2:13" x14ac:dyDescent="0.35">
      <c r="B22" s="27"/>
      <c r="C22" s="27"/>
      <c r="D22" s="27"/>
      <c r="E22" s="27"/>
      <c r="F22" s="27"/>
      <c r="G22" s="48"/>
      <c r="H22" s="48"/>
      <c r="I22" s="27"/>
      <c r="J22" s="1"/>
      <c r="K22" s="29"/>
      <c r="L22" s="49"/>
      <c r="M22" s="1"/>
    </row>
  </sheetData>
  <sheetProtection selectLockedCells="1" selectUnlockedCells="1"/>
  <mergeCells count="1">
    <mergeCell ref="A2:G3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44481F-F0BB-4078-AA70-087019285B71}">
  <sheetPr codeName="Sheet8"/>
  <dimension ref="A1:C14"/>
  <sheetViews>
    <sheetView workbookViewId="0">
      <selection activeCell="J1" sqref="J1"/>
    </sheetView>
  </sheetViews>
  <sheetFormatPr defaultRowHeight="14.5" x14ac:dyDescent="0.35"/>
  <cols>
    <col min="2" max="2" width="15.1796875" customWidth="1"/>
    <col min="3" max="3" width="12.81640625" customWidth="1"/>
  </cols>
  <sheetData>
    <row r="1" spans="1:3" x14ac:dyDescent="0.35">
      <c r="A1" s="56" t="s">
        <v>26</v>
      </c>
      <c r="B1" s="56"/>
      <c r="C1" s="56"/>
    </row>
    <row r="2" spans="1:3" x14ac:dyDescent="0.35">
      <c r="A2" s="56"/>
      <c r="B2" s="56"/>
      <c r="C2" s="56"/>
    </row>
    <row r="3" spans="1:3" x14ac:dyDescent="0.35">
      <c r="B3" t="s">
        <v>118</v>
      </c>
    </row>
    <row r="4" spans="1:3" x14ac:dyDescent="0.35">
      <c r="B4" s="3" t="s">
        <v>0</v>
      </c>
      <c r="C4" s="4">
        <f>LEN(C5)</f>
        <v>2</v>
      </c>
    </row>
    <row r="5" spans="1:3" x14ac:dyDescent="0.35">
      <c r="B5" s="3" t="s">
        <v>26</v>
      </c>
      <c r="C5" s="4">
        <v>90</v>
      </c>
    </row>
    <row r="7" spans="1:3" x14ac:dyDescent="0.35">
      <c r="B7" t="s">
        <v>45</v>
      </c>
    </row>
    <row r="8" spans="1:3" x14ac:dyDescent="0.35">
      <c r="B8" s="3" t="s">
        <v>0</v>
      </c>
      <c r="C8" s="4">
        <f>LEN(C9)</f>
        <v>2</v>
      </c>
    </row>
    <row r="9" spans="1:3" x14ac:dyDescent="0.35">
      <c r="B9" s="3" t="s">
        <v>117</v>
      </c>
      <c r="C9" s="4">
        <v>19</v>
      </c>
    </row>
    <row r="11" spans="1:3" x14ac:dyDescent="0.35">
      <c r="B11" t="s">
        <v>119</v>
      </c>
    </row>
    <row r="12" spans="1:3" x14ac:dyDescent="0.35">
      <c r="B12" s="3" t="s">
        <v>120</v>
      </c>
      <c r="C12" s="9"/>
    </row>
    <row r="13" spans="1:3" x14ac:dyDescent="0.35">
      <c r="B13" s="3" t="s">
        <v>46</v>
      </c>
      <c r="C13" s="9"/>
    </row>
    <row r="14" spans="1:3" x14ac:dyDescent="0.35">
      <c r="B14" s="3" t="s">
        <v>121</v>
      </c>
      <c r="C14" s="4">
        <f>C13-C12</f>
        <v>0</v>
      </c>
    </row>
  </sheetData>
  <mergeCells count="1">
    <mergeCell ref="A1:C2"/>
  </mergeCell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B18C0B-36D5-499B-AF6F-D05E4B4C8008}">
  <sheetPr codeName="Sheet11"/>
  <dimension ref="A2:I13"/>
  <sheetViews>
    <sheetView topLeftCell="A7" workbookViewId="0">
      <selection activeCell="A13" sqref="A13:XFD23"/>
    </sheetView>
  </sheetViews>
  <sheetFormatPr defaultRowHeight="14.5" x14ac:dyDescent="0.35"/>
  <cols>
    <col min="1" max="1" width="4.81640625" style="1" customWidth="1"/>
    <col min="2" max="4" width="21" customWidth="1"/>
    <col min="5" max="5" width="27.453125" customWidth="1"/>
    <col min="6" max="6" width="21" customWidth="1"/>
    <col min="7" max="8" width="21" style="27" customWidth="1"/>
    <col min="9" max="9" width="21" style="1" customWidth="1"/>
  </cols>
  <sheetData>
    <row r="2" spans="1:9" x14ac:dyDescent="0.35">
      <c r="A2" s="56" t="s">
        <v>49</v>
      </c>
      <c r="B2" s="56"/>
      <c r="C2" s="56"/>
      <c r="D2" s="56"/>
      <c r="E2" s="56"/>
      <c r="F2" s="56"/>
    </row>
    <row r="3" spans="1:9" x14ac:dyDescent="0.35">
      <c r="A3" s="56"/>
      <c r="B3" s="56"/>
      <c r="C3" s="56"/>
      <c r="D3" s="56"/>
      <c r="E3" s="56"/>
      <c r="F3" s="56"/>
    </row>
    <row r="5" spans="1:9" x14ac:dyDescent="0.35">
      <c r="A5" s="4" t="s">
        <v>0</v>
      </c>
      <c r="B5" s="37" t="s">
        <v>40</v>
      </c>
      <c r="C5" s="37" t="s">
        <v>35</v>
      </c>
      <c r="D5" s="37" t="s">
        <v>6</v>
      </c>
      <c r="E5" s="37" t="s">
        <v>7</v>
      </c>
      <c r="F5" s="37" t="s">
        <v>8</v>
      </c>
      <c r="G5" s="44" t="s">
        <v>49</v>
      </c>
      <c r="H5" s="44" t="s">
        <v>50</v>
      </c>
      <c r="I5" s="8" t="s">
        <v>40</v>
      </c>
    </row>
    <row r="6" spans="1:9" x14ac:dyDescent="0.35">
      <c r="A6" s="1">
        <f>ROW()-ROW(Transaction!$A$5)</f>
        <v>1</v>
      </c>
      <c r="B6" s="27" t="s">
        <v>63</v>
      </c>
      <c r="C6" s="27" t="s">
        <v>59</v>
      </c>
      <c r="D6" s="27" t="s">
        <v>78</v>
      </c>
      <c r="E6" s="27" t="s">
        <v>82</v>
      </c>
      <c r="F6" s="27">
        <v>1837386428</v>
      </c>
      <c r="G6" s="27" t="s">
        <v>70</v>
      </c>
      <c r="H6" s="27" t="s">
        <v>76</v>
      </c>
      <c r="I6" s="1">
        <v>1</v>
      </c>
    </row>
    <row r="7" spans="1:9" x14ac:dyDescent="0.35">
      <c r="A7" s="1">
        <f>ROW()-ROW(Transaction!$A$5)</f>
        <v>2</v>
      </c>
      <c r="B7" s="27" t="s">
        <v>67</v>
      </c>
      <c r="C7" s="27" t="s">
        <v>59</v>
      </c>
      <c r="D7" s="27" t="s">
        <v>79</v>
      </c>
      <c r="E7" s="27" t="s">
        <v>83</v>
      </c>
      <c r="F7" s="27">
        <v>1723647839</v>
      </c>
      <c r="G7" s="27" t="s">
        <v>75</v>
      </c>
      <c r="H7" s="27" t="s">
        <v>76</v>
      </c>
      <c r="I7" s="1">
        <v>2</v>
      </c>
    </row>
    <row r="8" spans="1:9" x14ac:dyDescent="0.35">
      <c r="A8" s="1">
        <f>ROW()-ROW(Transaction!$A$5)</f>
        <v>3</v>
      </c>
      <c r="B8" s="27" t="s">
        <v>68</v>
      </c>
      <c r="C8" s="27" t="s">
        <v>66</v>
      </c>
      <c r="D8" s="27" t="s">
        <v>80</v>
      </c>
      <c r="E8" s="27" t="s">
        <v>84</v>
      </c>
      <c r="F8" s="27">
        <v>1348576545</v>
      </c>
      <c r="G8" s="27" t="s">
        <v>75</v>
      </c>
      <c r="H8" s="27" t="s">
        <v>76</v>
      </c>
      <c r="I8" s="1">
        <v>3</v>
      </c>
    </row>
    <row r="9" spans="1:9" x14ac:dyDescent="0.35">
      <c r="A9" s="1">
        <f>ROW()-ROW(Transaction!$A$5)</f>
        <v>4</v>
      </c>
      <c r="B9" s="27" t="s">
        <v>64</v>
      </c>
      <c r="C9" s="27" t="s">
        <v>59</v>
      </c>
      <c r="D9" s="27" t="s">
        <v>81</v>
      </c>
      <c r="E9" s="27" t="s">
        <v>85</v>
      </c>
      <c r="F9" s="27">
        <v>1334565673</v>
      </c>
      <c r="G9" s="27" t="s">
        <v>77</v>
      </c>
      <c r="H9" s="27" t="s">
        <v>104</v>
      </c>
      <c r="I9" s="1">
        <v>4</v>
      </c>
    </row>
    <row r="10" spans="1:9" x14ac:dyDescent="0.35">
      <c r="A10" s="1">
        <f>ROW()-ROW(Transaction!$A$5)</f>
        <v>5</v>
      </c>
      <c r="B10" s="27" t="s">
        <v>103</v>
      </c>
      <c r="C10" s="27" t="s">
        <v>59</v>
      </c>
      <c r="D10" s="27" t="s">
        <v>51</v>
      </c>
      <c r="E10" s="27" t="s">
        <v>52</v>
      </c>
      <c r="F10" s="27">
        <v>1722893847</v>
      </c>
      <c r="G10" s="27" t="s">
        <v>77</v>
      </c>
      <c r="H10" s="27" t="s">
        <v>104</v>
      </c>
      <c r="I10" s="27">
        <v>5</v>
      </c>
    </row>
    <row r="11" spans="1:9" x14ac:dyDescent="0.35">
      <c r="A11" s="1">
        <f t="shared" ref="A11:A12" si="0">ROW()-ROW($A$5)</f>
        <v>6</v>
      </c>
      <c r="B11" s="27" t="s">
        <v>111</v>
      </c>
      <c r="C11" s="27" t="s">
        <v>102</v>
      </c>
      <c r="D11" s="27" t="s">
        <v>51</v>
      </c>
      <c r="E11" s="27" t="s">
        <v>52</v>
      </c>
      <c r="F11" s="27">
        <v>1722893847</v>
      </c>
      <c r="G11" s="27" t="s">
        <v>112</v>
      </c>
      <c r="H11" s="27" t="s">
        <v>76</v>
      </c>
      <c r="I11" s="1">
        <v>6</v>
      </c>
    </row>
    <row r="12" spans="1:9" x14ac:dyDescent="0.35">
      <c r="A12" s="1">
        <f t="shared" si="0"/>
        <v>7</v>
      </c>
      <c r="B12" s="27" t="s">
        <v>113</v>
      </c>
      <c r="C12" s="27" t="s">
        <v>102</v>
      </c>
      <c r="D12" s="27" t="s">
        <v>29</v>
      </c>
      <c r="E12" s="27" t="s">
        <v>32</v>
      </c>
      <c r="F12" s="27">
        <v>1232960369</v>
      </c>
      <c r="G12" s="27" t="s">
        <v>112</v>
      </c>
      <c r="H12" s="27" t="s">
        <v>104</v>
      </c>
      <c r="I12" s="1">
        <v>7</v>
      </c>
    </row>
    <row r="13" spans="1:9" x14ac:dyDescent="0.35">
      <c r="A13" s="1">
        <f>ROW()-ROW($A$5)</f>
        <v>8</v>
      </c>
      <c r="B13" t="s">
        <v>134</v>
      </c>
      <c r="C13" t="s">
        <v>102</v>
      </c>
      <c r="D13" t="s">
        <v>29</v>
      </c>
      <c r="E13" t="s">
        <v>32</v>
      </c>
      <c r="F13">
        <v>1232960369</v>
      </c>
      <c r="G13" s="27" t="s">
        <v>112</v>
      </c>
      <c r="H13" s="27" t="s">
        <v>104</v>
      </c>
      <c r="I13" s="1">
        <v>8</v>
      </c>
    </row>
  </sheetData>
  <sheetProtection selectLockedCells="1" selectUnlockedCells="1"/>
  <mergeCells count="1">
    <mergeCell ref="A2:F3"/>
  </mergeCells>
  <phoneticPr fontId="10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D37D91-4862-4D8A-9FC8-3D99790365DB}">
  <sheetPr codeName="Sheet12"/>
  <dimension ref="A2:K33"/>
  <sheetViews>
    <sheetView tabSelected="1" workbookViewId="0">
      <selection activeCell="E15" sqref="E15"/>
    </sheetView>
  </sheetViews>
  <sheetFormatPr defaultRowHeight="14.5" x14ac:dyDescent="0.35"/>
  <cols>
    <col min="1" max="1" width="5.7265625" customWidth="1"/>
    <col min="2" max="2" width="18" bestFit="1" customWidth="1"/>
    <col min="3" max="9" width="17.1796875" customWidth="1"/>
    <col min="11" max="11" width="12.54296875" bestFit="1" customWidth="1"/>
  </cols>
  <sheetData>
    <row r="2" spans="1:11" x14ac:dyDescent="0.35">
      <c r="A2" s="65" t="s">
        <v>101</v>
      </c>
      <c r="B2" s="65"/>
      <c r="C2" s="65"/>
      <c r="D2" s="65"/>
      <c r="E2" s="65"/>
      <c r="F2" s="65"/>
    </row>
    <row r="3" spans="1:11" x14ac:dyDescent="0.35">
      <c r="A3" s="65"/>
      <c r="B3" s="65"/>
      <c r="C3" s="65"/>
      <c r="D3" s="65"/>
      <c r="E3" s="65"/>
      <c r="F3" s="65"/>
    </row>
    <row r="5" spans="1:11" x14ac:dyDescent="0.35">
      <c r="A5" s="45" t="s">
        <v>0</v>
      </c>
      <c r="B5" s="3" t="s">
        <v>40</v>
      </c>
      <c r="C5" s="3" t="s">
        <v>35</v>
      </c>
      <c r="D5" s="3" t="s">
        <v>6</v>
      </c>
      <c r="E5" s="3" t="s">
        <v>7</v>
      </c>
      <c r="F5" s="3" t="s">
        <v>8</v>
      </c>
      <c r="G5" s="53" t="s">
        <v>49</v>
      </c>
      <c r="H5" s="53" t="s">
        <v>50</v>
      </c>
      <c r="I5" s="51" t="s">
        <v>40</v>
      </c>
      <c r="K5" s="53" t="s">
        <v>48</v>
      </c>
    </row>
    <row r="6" spans="1:11" x14ac:dyDescent="0.35">
      <c r="A6" s="46">
        <v>1</v>
      </c>
      <c r="B6" t="s">
        <v>63</v>
      </c>
      <c r="C6" t="s">
        <v>59</v>
      </c>
      <c r="D6" t="s">
        <v>78</v>
      </c>
      <c r="E6" t="s">
        <v>82</v>
      </c>
      <c r="F6">
        <v>1837386428</v>
      </c>
      <c r="G6" t="s">
        <v>70</v>
      </c>
      <c r="H6" t="s">
        <v>76</v>
      </c>
      <c r="I6" t="s">
        <v>63</v>
      </c>
    </row>
    <row r="7" spans="1:11" x14ac:dyDescent="0.35">
      <c r="A7" s="46">
        <v>2</v>
      </c>
      <c r="B7" t="s">
        <v>67</v>
      </c>
      <c r="C7" t="s">
        <v>59</v>
      </c>
      <c r="D7" t="s">
        <v>79</v>
      </c>
      <c r="E7" t="s">
        <v>83</v>
      </c>
      <c r="F7">
        <v>1723647839</v>
      </c>
      <c r="G7" t="s">
        <v>75</v>
      </c>
      <c r="H7" t="s">
        <v>76</v>
      </c>
      <c r="I7" t="s">
        <v>67</v>
      </c>
    </row>
    <row r="8" spans="1:11" x14ac:dyDescent="0.35">
      <c r="A8" s="46">
        <v>3</v>
      </c>
      <c r="B8" t="s">
        <v>68</v>
      </c>
      <c r="C8" t="s">
        <v>66</v>
      </c>
      <c r="D8" t="s">
        <v>80</v>
      </c>
      <c r="E8" t="s">
        <v>84</v>
      </c>
      <c r="F8">
        <v>1348576545</v>
      </c>
      <c r="G8" t="s">
        <v>75</v>
      </c>
      <c r="H8" t="s">
        <v>76</v>
      </c>
      <c r="I8" t="s">
        <v>68</v>
      </c>
    </row>
    <row r="9" spans="1:11" x14ac:dyDescent="0.35">
      <c r="A9" s="46">
        <v>4</v>
      </c>
      <c r="B9" t="s">
        <v>64</v>
      </c>
      <c r="C9" t="s">
        <v>59</v>
      </c>
      <c r="D9" t="s">
        <v>81</v>
      </c>
      <c r="E9" t="s">
        <v>85</v>
      </c>
      <c r="F9">
        <v>1334565673</v>
      </c>
      <c r="G9" t="s">
        <v>77</v>
      </c>
      <c r="H9" t="s">
        <v>104</v>
      </c>
      <c r="I9" t="s">
        <v>64</v>
      </c>
    </row>
    <row r="10" spans="1:11" x14ac:dyDescent="0.35">
      <c r="A10" s="46">
        <v>16</v>
      </c>
      <c r="B10" t="s">
        <v>122</v>
      </c>
      <c r="C10" t="s">
        <v>59</v>
      </c>
      <c r="D10" t="s">
        <v>51</v>
      </c>
      <c r="E10" t="s">
        <v>52</v>
      </c>
      <c r="F10">
        <v>1722893847</v>
      </c>
      <c r="G10" t="s">
        <v>112</v>
      </c>
      <c r="H10" t="s">
        <v>76</v>
      </c>
      <c r="I10" t="s">
        <v>122</v>
      </c>
    </row>
    <row r="11" spans="1:11" x14ac:dyDescent="0.35">
      <c r="A11" s="46">
        <v>17</v>
      </c>
      <c r="B11" t="s">
        <v>123</v>
      </c>
      <c r="C11" t="s">
        <v>59</v>
      </c>
      <c r="D11" t="s">
        <v>30</v>
      </c>
      <c r="E11" t="s">
        <v>34</v>
      </c>
      <c r="F11">
        <v>1732605546</v>
      </c>
      <c r="G11" t="s">
        <v>112</v>
      </c>
      <c r="H11" s="46" t="s">
        <v>76</v>
      </c>
      <c r="I11" t="s">
        <v>123</v>
      </c>
    </row>
    <row r="12" spans="1:11" x14ac:dyDescent="0.35">
      <c r="A12" s="46">
        <v>5</v>
      </c>
      <c r="B12" t="s">
        <v>103</v>
      </c>
      <c r="C12" t="s">
        <v>59</v>
      </c>
      <c r="D12" t="s">
        <v>51</v>
      </c>
      <c r="E12" t="s">
        <v>52</v>
      </c>
      <c r="F12">
        <v>1722893847</v>
      </c>
      <c r="G12" t="s">
        <v>77</v>
      </c>
      <c r="H12" t="s">
        <v>104</v>
      </c>
      <c r="I12" t="s">
        <v>103</v>
      </c>
    </row>
    <row r="13" spans="1:11" x14ac:dyDescent="0.35">
      <c r="A13" s="46">
        <v>6</v>
      </c>
      <c r="B13" t="s">
        <v>111</v>
      </c>
      <c r="C13" t="s">
        <v>102</v>
      </c>
      <c r="D13" t="s">
        <v>51</v>
      </c>
      <c r="E13" t="s">
        <v>52</v>
      </c>
      <c r="F13">
        <v>1722893847</v>
      </c>
      <c r="G13" t="s">
        <v>112</v>
      </c>
      <c r="H13" t="s">
        <v>76</v>
      </c>
      <c r="I13" t="s">
        <v>111</v>
      </c>
    </row>
    <row r="14" spans="1:11" x14ac:dyDescent="0.35">
      <c r="A14" s="46">
        <v>7</v>
      </c>
      <c r="B14" t="s">
        <v>113</v>
      </c>
      <c r="C14" t="s">
        <v>102</v>
      </c>
      <c r="D14" t="s">
        <v>29</v>
      </c>
      <c r="E14" t="s">
        <v>32</v>
      </c>
      <c r="F14">
        <v>1232960369</v>
      </c>
      <c r="G14" t="s">
        <v>112</v>
      </c>
      <c r="H14" t="s">
        <v>104</v>
      </c>
      <c r="I14" t="s">
        <v>113</v>
      </c>
    </row>
    <row r="33" spans="8:8" x14ac:dyDescent="0.35">
      <c r="H33" s="5"/>
    </row>
  </sheetData>
  <sheetProtection selectLockedCells="1" selectUnlockedCells="1"/>
  <sortState xmlns:xlrd2="http://schemas.microsoft.com/office/spreadsheetml/2017/richdata2" ref="A6:I34">
    <sortCondition ref="I5"/>
  </sortState>
  <mergeCells count="1">
    <mergeCell ref="A2:F3"/>
  </mergeCells>
  <phoneticPr fontId="10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031ADAA3EBB8F44B8973FF7238E383E7" ma:contentTypeVersion="9" ma:contentTypeDescription="Create a new document." ma:contentTypeScope="" ma:versionID="f52a57ecfa75b2a6ef84531af418104e">
  <xsd:schema xmlns:xsd="http://www.w3.org/2001/XMLSchema" xmlns:xs="http://www.w3.org/2001/XMLSchema" xmlns:p="http://schemas.microsoft.com/office/2006/metadata/properties" xmlns:ns3="973d5703-cdb4-4f05-b1f3-5a7545aab3e9" xmlns:ns4="c2ad51b3-a21a-48a8-84c0-234bab54b630" targetNamespace="http://schemas.microsoft.com/office/2006/metadata/properties" ma:root="true" ma:fieldsID="0eeb2331bf11bd4a73268bf967938095" ns3:_="" ns4:_="">
    <xsd:import namespace="973d5703-cdb4-4f05-b1f3-5a7545aab3e9"/>
    <xsd:import namespace="c2ad51b3-a21a-48a8-84c0-234bab54b630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KeyPoints" minOccurs="0"/>
                <xsd:element ref="ns3:MediaServiceKeyPoints" minOccurs="0"/>
                <xsd:element ref="ns3:_activity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ObjectDetectorVersion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73d5703-cdb4-4f05-b1f3-5a7545aab3e9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_activity" ma:index="12" nillable="true" ma:displayName="_activity" ma:hidden="true" ma:internalName="_activity">
      <xsd:simpleType>
        <xsd:restriction base="dms:Note"/>
      </xsd:simpleType>
    </xsd:element>
    <xsd:element name="MediaServiceObjectDetectorVersions" ma:index="16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2ad51b3-a21a-48a8-84c0-234bab54b630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5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973d5703-cdb4-4f05-b1f3-5a7545aab3e9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C8875F9D-3A5A-4D7D-948B-DA95871F98F5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973d5703-cdb4-4f05-b1f3-5a7545aab3e9"/>
    <ds:schemaRef ds:uri="c2ad51b3-a21a-48a8-84c0-234bab54b630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CA76EF08-D0BB-487B-A006-7101281CCBE7}">
  <ds:schemaRefs>
    <ds:schemaRef ds:uri="973d5703-cdb4-4f05-b1f3-5a7545aab3e9"/>
    <ds:schemaRef ds:uri="http://purl.org/dc/terms/"/>
    <ds:schemaRef ds:uri="c2ad51b3-a21a-48a8-84c0-234bab54b630"/>
    <ds:schemaRef ds:uri="http://www.w3.org/XML/1998/namespace"/>
    <ds:schemaRef ds:uri="http://schemas.openxmlformats.org/package/2006/metadata/core-properties"/>
    <ds:schemaRef ds:uri="http://schemas.microsoft.com/office/2006/documentManagement/types"/>
    <ds:schemaRef ds:uri="http://purl.org/dc/dcmitype/"/>
    <ds:schemaRef ds:uri="http://schemas.microsoft.com/office/2006/metadata/properties"/>
    <ds:schemaRef ds:uri="http://schemas.microsoft.com/office/infopath/2007/PartnerControls"/>
    <ds:schemaRef ds:uri="http://purl.org/dc/elements/1.1/"/>
  </ds:schemaRefs>
</ds:datastoreItem>
</file>

<file path=customXml/itemProps3.xml><?xml version="1.0" encoding="utf-8"?>
<ds:datastoreItem xmlns:ds="http://schemas.openxmlformats.org/officeDocument/2006/customXml" ds:itemID="{131E35BF-8A83-4A88-9F4A-380956AB071D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6</vt:i4>
      </vt:variant>
    </vt:vector>
  </HeadingPairs>
  <TitlesOfParts>
    <vt:vector size="18" baseType="lpstr">
      <vt:lpstr>RepairPackage</vt:lpstr>
      <vt:lpstr>RepairStocks</vt:lpstr>
      <vt:lpstr>Staff</vt:lpstr>
      <vt:lpstr>Customer</vt:lpstr>
      <vt:lpstr>Order</vt:lpstr>
      <vt:lpstr>Usage</vt:lpstr>
      <vt:lpstr>Invoice</vt:lpstr>
      <vt:lpstr>Transaction</vt:lpstr>
      <vt:lpstr>SearchTransaction</vt:lpstr>
      <vt:lpstr>Transaction Code</vt:lpstr>
      <vt:lpstr>Status</vt:lpstr>
      <vt:lpstr>SearchStatus</vt:lpstr>
      <vt:lpstr>Customer!Criteria</vt:lpstr>
      <vt:lpstr>SearchStatus!Criteria</vt:lpstr>
      <vt:lpstr>SearchTransaction!Criteria</vt:lpstr>
      <vt:lpstr>Customer!Extract</vt:lpstr>
      <vt:lpstr>SearchStatus!Extract</vt:lpstr>
      <vt:lpstr>SearchTransaction!Extract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Tricia Ho</dc:creator>
  <cp:lastModifiedBy>Tricia Ho</cp:lastModifiedBy>
  <cp:lastPrinted>2024-01-17T10:45:30Z</cp:lastPrinted>
  <dcterms:created xsi:type="dcterms:W3CDTF">2024-01-13T22:20:19Z</dcterms:created>
  <dcterms:modified xsi:type="dcterms:W3CDTF">2025-09-17T19:53:35Z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0x010100031ADAA3EBB8F44B8973FF7238E383E7</vt:lpwstr>
  </property>
</Properties>
</file>